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4e90d94bd746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持仓总览" sheetId="1" r:id="R0af84ba53f644b24"/>
    <x:sheet xmlns:r="http://schemas.openxmlformats.org/officeDocument/2006/relationships" name="参数设置" sheetId="2" r:id="R242ec19767664a49"/>
    <x:sheet xmlns:r="http://schemas.openxmlformats.org/officeDocument/2006/relationships" name="次日策略" sheetId="3" r:id="R0ced2221b6f044fe"/>
    <x:sheet xmlns:r="http://schemas.openxmlformats.org/officeDocument/2006/relationships" name="交易日志" sheetId="4" r:id="Raf02b7e4826d490b"/>
    <x:sheet xmlns:r="http://schemas.openxmlformats.org/officeDocument/2006/relationships" name="来源与检查" sheetId="5" r:id="R2d400055679347a5"/>
  </x:sheets>
</x:workbook>
</file>

<file path=xl/comments1.xml><?xml version="1.0" encoding="utf-8"?>
<x:comments xmlns:x="http://schemas.openxmlformats.org/spreadsheetml/2006/main">
  <x:authors>
    <x:author>tc={21782D86-C01D-4E2E-A8ED-7EBE93845071}</x:author>
    <x:author>tc={3F747A45-66B2-41F3-8E8B-A24A02235C3B}</x:author>
  </x:authors>
  <x:commentList>
    <x:comment ref="E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https://quote.eastmoney.com/sh600172.html; observed 2026-09-02 10:04:00+08:00.</x:t>
        </x:r>
      </x:text>
    </x:comment>
    <x:comment ref="E9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https://quote.eastmoney.com/sh603045.html; observed 2026-09-02 10:04:02+08:00.</x:t>
        </x:r>
      </x:text>
    </x:comment>
  </x:commentList>
</x:comments>
</file>

<file path=xl/comments2.xml><?xml version="1.0" encoding="utf-8"?>
<x:comments xmlns:x="http://schemas.openxmlformats.org/spreadsheetml/2006/main">
  <x:authors>
    <x:author>tc={30C3B8E8-2620-439C-B509-529DCA753FE1}</x:author>
    <x:author>tc={EB67BAA2-E7D2-4DB6-9C93-1BEA40DF0C05}</x:author>
  </x:authors>
  <x:commentList>
    <x:comment ref="F6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推定成交均价，需用券商成交回报覆盖；成本价可能已包含买入费用。</x:t>
        </x:r>
      </x:text>
    </x:comment>
    <x:comment ref="F7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推定成交均价，需用券商成交回报覆盖；成本价可能已包含买入费用。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&quot;¥&quot;#,##0.00;[Red](&quot;¥&quot;#,##0.00);-"/>
    <x:numFmt numFmtId="201" formatCode="0.0000%"/>
    <x:numFmt numFmtId="202" formatCode="0.00%;[Red](0.00%);-"/>
    <x:numFmt numFmtId="203" formatCode="0.00&quot;R&quot;;[Red](0.00&quot;R&quot;);-"/>
    <x:numFmt numFmtId="204" formatCode="0.000"/>
    <x:numFmt numFmtId="205" formatCode="[Red]&quot;¥&quot;#,##0.00;[Green](&quot;¥&quot;#,##0.00);-"/>
    <x:numFmt numFmtId="206" formatCode="[Red]0.00&quot;R&quot;;[Green](0.00&quot;R&quot;);-"/>
    <x:numFmt numFmtId="207" formatCode="[Red]0.00%;[Green](0.00%);-"/>
    <x:numFmt numFmtId="208" formatCode="yyyy-mm-dd"/>
  </x:numFmts>
  <x:fonts count="23">
    <x:font>
      <x:sz val="11"/>
      <x:name val="Carlito"/>
    </x:font>
    <x:font>
      <x:b/>
      <x:sz val="16"/>
      <x:color rgb="FFFFFFFF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sz val="11"/>
      <x:color rgb="FF0000FF"/>
      <x:name val="Carlito"/>
    </x:font>
    <x:font>
      <x:b/>
      <x:sz val="11"/>
      <x:color rgb="FFC00000"/>
      <x:name val="Carlito"/>
    </x:font>
    <x:font>
      <x:b/>
      <x:sz val="10"/>
      <x:color rgb="FFFFFFFF"/>
      <x:name val="Aptos"/>
    </x:font>
    <x:font>
      <x:sz val="10"/>
      <x:color rgb="FF1F2937"/>
      <x:name val="Aptos"/>
    </x:font>
    <x:font>
      <x:sz val="10"/>
      <x:name val="Aptos"/>
    </x:font>
    <x:font>
      <x:b/>
      <x:sz val="10"/>
      <x:color rgb="FF1F2937"/>
      <x:name val="Aptos"/>
    </x:font>
    <x:font>
      <x:sz val="10"/>
      <x:color rgb="FF0000FF"/>
      <x:name val="Aptos"/>
    </x:font>
    <x:font>
      <x:b/>
      <x:sz val="10"/>
      <x:color rgb="FFC00000"/>
      <x:name val="Aptos"/>
    </x:font>
    <x:font>
      <x:b/>
      <x:sz val="13"/>
      <x:color rgb="FF1F2937"/>
      <x:name val="Carlito"/>
    </x:font>
    <x:font>
      <x:b/>
      <x:sz val="11"/>
      <x:name val="Carlito"/>
    </x:font>
    <x:font>
      <x:b/>
      <x:sz val="10"/>
      <x:name val="Aptos"/>
    </x:font>
    <x:font>
      <x:b/>
      <x:sz val="9"/>
      <x:color rgb="FFFFFFFF"/>
      <x:name val="Aptos"/>
    </x:font>
    <x:font>
      <x:sz val="9"/>
      <x:name val="Aptos"/>
    </x:font>
    <x:font>
      <x:b/>
      <x:sz val="9"/>
      <x:color rgb="FF1F2937"/>
      <x:name val="Aptos"/>
    </x:font>
    <x:font>
      <x:sz val="9"/>
      <x:color rgb="FF0000FF"/>
      <x:name val="Aptos"/>
    </x:font>
    <x:font>
      <x:sz val="11"/>
      <x:color rgb="FF008000"/>
      <x:name val="Carlito"/>
    </x:font>
    <x:font>
      <x:b/>
      <x:sz val="13"/>
      <x:color rgb="FFC00000"/>
      <x:name val="Carlito"/>
    </x:font>
    <x:font>
      <x:sz val="10"/>
      <x:color rgb="FF008000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  <x:fill>
      <x:patternFill patternType="solid">
        <x:fgColor rgb="FFDCE6F1"/>
      </x:patternFill>
    </x:fill>
    <x:fill>
      <x:patternFill patternType="solid">
        <x:fgColor rgb="FFFCE8E6"/>
      </x:patternFill>
    </x:fill>
    <x:fill>
      <x:patternFill patternType="solid">
        <x:fgColor rgb="FFEAF2F8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</x:fills>
  <x:borders count="12">
    <x:border/>
    <x:border>
      <x:left style="thin">
        <x:color rgb="FFB8C2CC"/>
      </x:left>
      <x:top style="thin">
        <x:color rgb="FFB8C2CC"/>
      </x:top>
    </x:border>
    <x:border>
      <x:right style="thin">
        <x:color rgb="FFB8C2CC"/>
      </x:right>
      <x:top style="thin">
        <x:color rgb="FFB8C2CC"/>
      </x:top>
    </x:border>
    <x:border>
      <x:left style="thin">
        <x:color rgb="FFB8C2CC"/>
      </x:left>
    </x:border>
    <x:border>
      <x:right style="thin">
        <x:color rgb="FFB8C2CC"/>
      </x:right>
    </x:border>
    <x:border>
      <x:left style="thin">
        <x:color rgb="FFB8C2CC"/>
      </x:left>
      <x:bottom style="thin">
        <x:color rgb="FFB8C2CC"/>
      </x:bottom>
    </x:border>
    <x:border>
      <x:right style="thin">
        <x:color rgb="FFB8C2CC"/>
      </x:right>
      <x:bottom style="thin">
        <x:color rgb="FFB8C2CC"/>
      </x:bottom>
    </x:border>
    <x:border>
      <x:left style="thin">
        <x:color rgb="FFB8C2CC"/>
      </x:left>
      <x:right style="thin">
        <x:color rgb="FFB8C2CC"/>
      </x:right>
      <x:top style="thin">
        <x:color rgb="FFB8C2CC"/>
      </x:top>
      <x:bottom style="thin">
        <x:color rgb="FFB8C2CC"/>
      </x:bottom>
    </x:border>
    <x:border>
      <x:left style="thin">
        <x:color rgb="FFB8C2CC"/>
      </x:left>
      <x:top style="thin">
        <x:color rgb="FFB8C2CC"/>
      </x:top>
      <x:bottom style="thin">
        <x:color rgb="FFB8C2CC"/>
      </x:bottom>
    </x:border>
    <x:border>
      <x:right style="thin">
        <x:color rgb="FFB8C2CC"/>
      </x:right>
      <x:top style="thin">
        <x:color rgb="FFB8C2CC"/>
      </x:top>
      <x:bottom style="thin">
        <x:color rgb="FFB8C2CC"/>
      </x:bottom>
    </x:border>
    <x:border>
      <x:left style="thin">
        <x:color rgb="FFB8C2CC"/>
      </x:left>
      <x:right style="thin">
        <x:color rgb="FFB8C2CC"/>
      </x:right>
      <x:bottom style="thin">
        <x:color rgb="FFB8C2CC"/>
      </x:bottom>
    </x:border>
    <x:border>
      <x:left style="thin">
        <x:color rgb="FFB8C2CC"/>
      </x:left>
      <x:right style="thin">
        <x:color rgb="FFB8C2CC"/>
      </x:right>
      <x:top style="thin">
        <x:color rgb="FFB8C2CC"/>
      </x:top>
    </x:border>
  </x:borders>
  <x:cellStyleXfs count="1">
    <x:xf numFmtId="0" fontId="0" fillId="0" borderId="0"/>
  </x:cellStyleXfs>
  <x:cellXfs count="18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right"/>
    </x:xf>
    <x:xf numFmtId="200" fontId="5" fillId="3" borderId="0" xfId="0" applyNumberFormat="1" applyFont="1" applyFill="1" applyBorder="1" applyAlignment="1">
      <x:alignment horizontal="right"/>
    </x:xf>
    <x:xf numFmtId="201" fontId="5" fillId="3" borderId="0" xfId="0" applyNumberFormat="1" applyFont="1" applyFill="1" applyBorder="1" applyAlignment="1">
      <x:alignment horizontal="right"/>
    </x:xf>
    <x:xf numFmtId="202" fontId="5" fillId="3" borderId="0" xfId="0" applyNumberFormat="1" applyFont="1" applyFill="1" applyBorder="1" applyAlignment="1">
      <x:alignment horizontal="right"/>
    </x:xf>
    <x:xf numFmtId="203" fontId="5" fillId="3" borderId="0" xfId="0" applyNumberFormat="1" applyFont="1" applyFill="1" applyBorder="1" applyAlignment="1">
      <x:alignment horizontal="right"/>
    </x:xf>
    <x:xf numFmtId="0" fontId="4" fillId="5" borderId="1" xfId="0" applyNumberFormat="1" applyFont="1" applyFill="1" applyBorder="1"/>
    <x:xf numFmtId="200" fontId="5" fillId="3" borderId="2" xfId="0" applyNumberFormat="1" applyFont="1" applyFill="1" applyBorder="1" applyAlignment="1">
      <x:alignment horizontal="right"/>
    </x:xf>
    <x:xf numFmtId="0" fontId="4" fillId="5" borderId="3" xfId="0" applyNumberFormat="1" applyFont="1" applyFill="1" applyBorder="1"/>
    <x:xf numFmtId="201" fontId="5" fillId="3" borderId="4" xfId="0" applyNumberFormat="1" applyFont="1" applyFill="1" applyBorder="1" applyAlignment="1">
      <x:alignment horizontal="right"/>
    </x:xf>
    <x:xf numFmtId="200" fontId="5" fillId="3" borderId="4" xfId="0" applyNumberFormat="1" applyFont="1" applyFill="1" applyBorder="1" applyAlignment="1">
      <x:alignment horizontal="right"/>
    </x:xf>
    <x:xf numFmtId="0" fontId="5" fillId="3" borderId="4" xfId="0" applyNumberFormat="1" applyFont="1" applyFill="1" applyBorder="1" applyAlignment="1">
      <x:alignment horizontal="right"/>
    </x:xf>
    <x:xf numFmtId="202" fontId="5" fillId="3" borderId="4" xfId="0" applyNumberFormat="1" applyFont="1" applyFill="1" applyBorder="1" applyAlignment="1">
      <x:alignment horizontal="right"/>
    </x:xf>
    <x:xf numFmtId="0" fontId="4" fillId="5" borderId="5" xfId="0" applyNumberFormat="1" applyFont="1" applyFill="1" applyBorder="1"/>
    <x:xf numFmtId="203" fontId="5" fillId="3" borderId="6" xfId="0" applyNumberFormat="1" applyFont="1" applyFill="1" applyBorder="1" applyAlignment="1">
      <x:alignment horizontal="right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7" xfId="0" applyNumberFormat="1" applyFont="1" applyFill="1" applyBorder="1"/>
    <x:xf numFmtId="0" fontId="4" fillId="6" borderId="7" xfId="0" applyNumberFormat="1" applyFont="1" applyFill="1" applyBorder="1" applyAlignment="1">
      <x:alignment wrapText="1"/>
    </x:xf>
    <x:xf numFmtId="0" fontId="4" fillId="6" borderId="7" xfId="0" applyNumberFormat="1" applyFont="1" applyFill="1" applyBorder="1" applyAlignment="1">
      <x:alignment horizontal="center" wrapText="1"/>
    </x:xf>
    <x:xf numFmtId="0" fontId="4" fillId="6" borderId="7" xfId="0" applyNumberFormat="1" applyFont="1" applyFill="1" applyBorder="1" applyAlignment="1">
      <x:alignment horizontal="center" vertical="center" wrapText="1"/>
    </x:xf>
    <x:xf numFmtId="204" fontId="5" fillId="3" borderId="0" xfId="0" applyNumberFormat="1" applyFont="1" applyFill="1" applyBorder="1"/>
    <x:xf numFmtId="204" fontId="0" fillId="0" borderId="0" xfId="0" applyNumberFormat="1" applyFont="1" applyFill="1" applyBorder="1"/>
    <x:xf numFmtId="200" fontId="0" fillId="0" borderId="0" xfId="0" applyNumberFormat="1" applyFont="1" applyFill="1" applyBorder="1"/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7" xfId="0" applyNumberFormat="1" applyFont="1" applyFill="1" applyBorder="1"/>
    <x:xf numFmtId="0" fontId="5" fillId="3" borderId="7" xfId="0" applyNumberFormat="1" applyFont="1" applyFill="1" applyBorder="1"/>
    <x:xf numFmtId="204" fontId="5" fillId="3" borderId="7" xfId="0" applyNumberFormat="1" applyFont="1" applyFill="1" applyBorder="1"/>
    <x:xf numFmtId="204" fontId="0" fillId="0" borderId="7" xfId="0" applyNumberFormat="1" applyFont="1" applyFill="1" applyBorder="1"/>
    <x:xf numFmtId="200" fontId="0" fillId="0" borderId="7" xfId="0" applyNumberFormat="1" applyFont="1" applyFill="1" applyBorder="1"/>
    <x:xf numFmtId="205" fontId="0" fillId="0" borderId="7" xfId="0" applyNumberFormat="1" applyFont="1" applyFill="1" applyBorder="1"/>
    <x:xf numFmtId="206" fontId="0" fillId="0" borderId="7" xfId="0" applyNumberFormat="1" applyFont="1" applyFill="1" applyBorder="1"/>
    <x:xf numFmtId="202" fontId="0" fillId="0" borderId="7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 applyAlignment="1">
      <x:alignment horizontal="left" vertical="center"/>
    </x:xf>
    <x:xf numFmtId="0" fontId="8" fillId="3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7" fillId="4" borderId="0" xfId="0" applyNumberFormat="1" applyFont="1" applyFill="1" applyBorder="1" applyAlignment="1">
      <x:alignment horizontal="left" vertical="center"/>
    </x:xf>
    <x:xf numFmtId="0" fontId="10" fillId="5" borderId="1" xfId="0" applyNumberFormat="1" applyFont="1" applyFill="1" applyBorder="1"/>
    <x:xf numFmtId="200" fontId="11" fillId="3" borderId="2" xfId="0" applyNumberFormat="1" applyFont="1" applyFill="1" applyBorder="1" applyAlignment="1">
      <x:alignment horizontal="right"/>
    </x:xf>
    <x:xf numFmtId="0" fontId="10" fillId="6" borderId="7" xfId="0" applyNumberFormat="1" applyFont="1" applyFill="1" applyBorder="1" applyAlignment="1">
      <x:alignment horizontal="center" vertical="center" wrapText="1"/>
    </x:xf>
    <x:xf numFmtId="0" fontId="10" fillId="5" borderId="3" xfId="0" applyNumberFormat="1" applyFont="1" applyFill="1" applyBorder="1"/>
    <x:xf numFmtId="201" fontId="11" fillId="3" borderId="4" xfId="0" applyNumberFormat="1" applyFont="1" applyFill="1" applyBorder="1" applyAlignment="1">
      <x:alignment horizontal="right"/>
    </x:xf>
    <x:xf numFmtId="0" fontId="9" fillId="0" borderId="7" xfId="0" applyNumberFormat="1" applyFont="1" applyFill="1" applyBorder="1"/>
    <x:xf numFmtId="0" fontId="11" fillId="3" borderId="7" xfId="0" applyNumberFormat="1" applyFont="1" applyFill="1" applyBorder="1"/>
    <x:xf numFmtId="204" fontId="11" fillId="3" borderId="7" xfId="0" applyNumberFormat="1" applyFont="1" applyFill="1" applyBorder="1"/>
    <x:xf numFmtId="204" fontId="9" fillId="0" borderId="7" xfId="0" applyNumberFormat="1" applyFont="1" applyFill="1" applyBorder="1"/>
    <x:xf numFmtId="200" fontId="9" fillId="0" borderId="7" xfId="0" applyNumberFormat="1" applyFont="1" applyFill="1" applyBorder="1"/>
    <x:xf numFmtId="205" fontId="9" fillId="0" borderId="7" xfId="0" applyNumberFormat="1" applyFont="1" applyFill="1" applyBorder="1"/>
    <x:xf numFmtId="206" fontId="9" fillId="0" borderId="7" xfId="0" applyNumberFormat="1" applyFont="1" applyFill="1" applyBorder="1"/>
    <x:xf numFmtId="202" fontId="9" fillId="0" borderId="7" xfId="0" applyNumberFormat="1" applyFont="1" applyFill="1" applyBorder="1"/>
    <x:xf numFmtId="200" fontId="11" fillId="3" borderId="4" xfId="0" applyNumberFormat="1" applyFont="1" applyFill="1" applyBorder="1" applyAlignment="1">
      <x:alignment horizontal="right"/>
    </x:xf>
    <x:xf numFmtId="0" fontId="11" fillId="3" borderId="4" xfId="0" applyNumberFormat="1" applyFont="1" applyFill="1" applyBorder="1" applyAlignment="1">
      <x:alignment horizontal="right"/>
    </x:xf>
    <x:xf numFmtId="202" fontId="11" fillId="3" borderId="4" xfId="0" applyNumberFormat="1" applyFont="1" applyFill="1" applyBorder="1" applyAlignment="1">
      <x:alignment horizontal="right"/>
    </x:xf>
    <x:xf numFmtId="0" fontId="12" fillId="7" borderId="0" xfId="0" applyNumberFormat="1" applyFont="1" applyFill="1" applyBorder="1" applyAlignment="1">
      <x:alignment vertical="center" wrapText="1"/>
    </x:xf>
    <x:xf numFmtId="0" fontId="10" fillId="5" borderId="5" xfId="0" applyNumberFormat="1" applyFont="1" applyFill="1" applyBorder="1"/>
    <x:xf numFmtId="203" fontId="11" fillId="3" borderId="6" xfId="0" applyNumberFormat="1" applyFont="1" applyFill="1" applyBorder="1" applyAlignment="1">
      <x:alignment horizontal="right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13" fillId="9" borderId="0" xfId="0" applyNumberFormat="1" applyFont="1" applyFill="1" applyBorder="1"/>
    <x:xf numFmtId="0" fontId="13" fillId="9" borderId="8" xfId="0" applyNumberFormat="1" applyFont="1" applyFill="1" applyBorder="1"/>
    <x:xf numFmtId="0" fontId="13" fillId="9" borderId="9" xfId="0" applyNumberFormat="1" applyFont="1" applyFill="1" applyBorder="1"/>
    <x:xf numFmtId="200" fontId="13" fillId="9" borderId="8" xfId="0" applyNumberFormat="1" applyFont="1" applyFill="1" applyBorder="1"/>
    <x:xf numFmtId="200" fontId="13" fillId="9" borderId="9" xfId="0" applyNumberFormat="1" applyFont="1" applyFill="1" applyBorder="1"/>
    <x:xf numFmtId="200" fontId="13" fillId="9" borderId="8" xfId="0" applyNumberFormat="1" applyFont="1" applyFill="1" applyBorder="1" applyAlignment="1">
      <x:alignment horizontal="center"/>
    </x:xf>
    <x:xf numFmtId="200" fontId="13" fillId="9" borderId="9" xfId="0" applyNumberFormat="1" applyFont="1" applyFill="1" applyBorder="1" applyAlignment="1">
      <x:alignment horizontal="center"/>
    </x:xf>
    <x:xf numFmtId="202" fontId="13" fillId="9" borderId="8" xfId="0" applyNumberFormat="1" applyFont="1" applyFill="1" applyBorder="1"/>
    <x:xf numFmtId="202" fontId="13" fillId="9" borderId="9" xfId="0" applyNumberFormat="1" applyFont="1" applyFill="1" applyBorder="1"/>
    <x:xf numFmtId="202" fontId="13" fillId="9" borderId="8" xfId="0" applyNumberFormat="1" applyFont="1" applyFill="1" applyBorder="1" applyAlignment="1">
      <x:alignment horizontal="center"/>
    </x:xf>
    <x:xf numFmtId="202" fontId="13" fillId="9" borderId="9" xfId="0" applyNumberFormat="1" applyFont="1" applyFill="1" applyBorder="1" applyAlignment="1">
      <x:alignment horizontal="center"/>
    </x:xf>
    <x:xf numFmtId="205" fontId="13" fillId="9" borderId="8" xfId="0" applyNumberFormat="1" applyFont="1" applyFill="1" applyBorder="1" applyAlignment="1">
      <x:alignment horizontal="center"/>
    </x:xf>
    <x:xf numFmtId="205" fontId="13" fillId="9" borderId="9" xfId="0" applyNumberFormat="1" applyFont="1" applyFill="1" applyBorder="1" applyAlignment="1">
      <x:alignment horizontal="center"/>
    </x:xf>
    <x:xf numFmtId="207" fontId="13" fillId="9" borderId="8" xfId="0" applyNumberFormat="1" applyFont="1" applyFill="1" applyBorder="1" applyAlignment="1">
      <x:alignment horizontal="center"/>
    </x:xf>
    <x:xf numFmtId="207" fontId="13" fillId="9" borderId="9" xfId="0" applyNumberFormat="1" applyFont="1" applyFill="1" applyBorder="1" applyAlignment="1">
      <x:alignment horizontal="center"/>
    </x:xf>
    <x:xf numFmtId="207" fontId="0" fillId="0" borderId="0" xfId="0" applyNumberFormat="1" applyFont="1" applyFill="1" applyBorder="1"/>
    <x:xf numFmtId="203" fontId="0" fillId="0" borderId="0" xfId="0" applyNumberFormat="1" applyFont="1" applyFill="1" applyBorder="1"/>
    <x:xf numFmtId="207" fontId="0" fillId="0" borderId="7" xfId="0" applyNumberFormat="1" applyFont="1" applyFill="1" applyBorder="1"/>
    <x:xf numFmtId="203" fontId="0" fillId="0" borderId="7" xfId="0" applyNumberFormat="1" applyFont="1" applyFill="1" applyBorder="1"/>
    <x:xf numFmtId="0" fontId="4" fillId="5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5" borderId="6" xfId="0" applyNumberFormat="1" applyFont="1" applyFill="1" applyBorder="1" applyAlignment="1">
      <x:alignment vertical="top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4" fillId="5" borderId="9" xfId="0" applyNumberFormat="1" applyFont="1" applyFill="1" applyBorder="1" applyAlignment="1">
      <x:alignment vertical="top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4" fillId="5" borderId="2" xfId="0" applyNumberFormat="1" applyFont="1" applyFill="1" applyBorder="1" applyAlignment="1">
      <x:alignment vertical="top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 applyAlignment="1">
      <x:alignment horizontal="center"/>
    </x:xf>
    <x:xf numFmtId="200" fontId="10" fillId="9" borderId="8" xfId="0" applyNumberFormat="1" applyFont="1" applyFill="1" applyBorder="1" applyAlignment="1">
      <x:alignment horizontal="center"/>
    </x:xf>
    <x:xf numFmtId="200" fontId="10" fillId="9" borderId="9" xfId="0" applyNumberFormat="1" applyFont="1" applyFill="1" applyBorder="1" applyAlignment="1">
      <x:alignment horizontal="center"/>
    </x:xf>
    <x:xf numFmtId="202" fontId="10" fillId="9" borderId="8" xfId="0" applyNumberFormat="1" applyFont="1" applyFill="1" applyBorder="1" applyAlignment="1">
      <x:alignment horizontal="center"/>
    </x:xf>
    <x:xf numFmtId="202" fontId="10" fillId="9" borderId="9" xfId="0" applyNumberFormat="1" applyFont="1" applyFill="1" applyBorder="1" applyAlignment="1">
      <x:alignment horizontal="center"/>
    </x:xf>
    <x:xf numFmtId="205" fontId="10" fillId="9" borderId="8" xfId="0" applyNumberFormat="1" applyFont="1" applyFill="1" applyBorder="1" applyAlignment="1">
      <x:alignment horizontal="center"/>
    </x:xf>
    <x:xf numFmtId="205" fontId="10" fillId="9" borderId="9" xfId="0" applyNumberFormat="1" applyFont="1" applyFill="1" applyBorder="1" applyAlignment="1">
      <x:alignment horizontal="center"/>
    </x:xf>
    <x:xf numFmtId="207" fontId="10" fillId="9" borderId="8" xfId="0" applyNumberFormat="1" applyFont="1" applyFill="1" applyBorder="1" applyAlignment="1">
      <x:alignment horizontal="center"/>
    </x:xf>
    <x:xf numFmtId="207" fontId="10" fillId="9" borderId="9" xfId="0" applyNumberFormat="1" applyFont="1" applyFill="1" applyBorder="1" applyAlignment="1">
      <x:alignment horizontal="center"/>
    </x:xf>
    <x:xf numFmtId="207" fontId="9" fillId="0" borderId="7" xfId="0" applyNumberFormat="1" applyFont="1" applyFill="1" applyBorder="1"/>
    <x:xf numFmtId="203" fontId="9" fillId="0" borderId="7" xfId="0" applyNumberFormat="1" applyFont="1" applyFill="1" applyBorder="1"/>
    <x:xf numFmtId="0" fontId="10" fillId="5" borderId="6" xfId="0" applyNumberFormat="1" applyFont="1" applyFill="1" applyBorder="1" applyAlignment="1">
      <x:alignment vertical="top"/>
    </x:xf>
    <x:xf numFmtId="0" fontId="9" fillId="0" borderId="10" xfId="0" applyNumberFormat="1" applyFont="1" applyFill="1" applyBorder="1" applyAlignment="1">
      <x:alignment vertical="top" wrapText="1"/>
    </x:xf>
    <x:xf numFmtId="0" fontId="9" fillId="0" borderId="5" xfId="0" applyNumberFormat="1" applyFont="1" applyFill="1" applyBorder="1" applyAlignment="1">
      <x:alignment vertical="top" wrapText="1"/>
    </x:xf>
    <x:xf numFmtId="0" fontId="10" fillId="5" borderId="9" xfId="0" applyNumberFormat="1" applyFont="1" applyFill="1" applyBorder="1" applyAlignment="1">
      <x:alignment vertical="top"/>
    </x:xf>
    <x:xf numFmtId="0" fontId="9" fillId="0" borderId="7" xfId="0" applyNumberFormat="1" applyFont="1" applyFill="1" applyBorder="1" applyAlignment="1">
      <x:alignment vertical="top" wrapText="1"/>
    </x:xf>
    <x:xf numFmtId="0" fontId="9" fillId="0" borderId="8" xfId="0" applyNumberFormat="1" applyFont="1" applyFill="1" applyBorder="1" applyAlignment="1">
      <x:alignment vertical="top" wrapText="1"/>
    </x:xf>
    <x:xf numFmtId="0" fontId="10" fillId="5" borderId="2" xfId="0" applyNumberFormat="1" applyFont="1" applyFill="1" applyBorder="1" applyAlignment="1">
      <x:alignment vertical="top"/>
    </x:xf>
    <x:xf numFmtId="0" fontId="9" fillId="0" borderId="11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wrapText="1"/>
    </x:xf>
    <x:xf numFmtId="0" fontId="0" fillId="10" borderId="7" xfId="0" applyNumberFormat="1" applyFont="1" applyFill="1" applyBorder="1" applyAlignment="1">
      <x:alignment wrapText="1"/>
    </x:xf>
    <x:xf numFmtId="0" fontId="0" fillId="7" borderId="7" xfId="0" applyNumberFormat="1" applyFont="1" applyFill="1" applyBorder="1" applyAlignment="1">
      <x:alignment wrapText="1"/>
    </x:xf>
    <x:xf numFmtId="0" fontId="14" fillId="0" borderId="7" xfId="0" applyNumberFormat="1" applyFont="1" applyFill="1" applyBorder="1" applyAlignment="1">
      <x:alignment wrapText="1"/>
    </x:xf>
    <x:xf numFmtId="0" fontId="9" fillId="10" borderId="7" xfId="0" applyNumberFormat="1" applyFont="1" applyFill="1" applyBorder="1" applyAlignment="1">
      <x:alignment wrapText="1"/>
    </x:xf>
    <x:xf numFmtId="0" fontId="15" fillId="0" borderId="7" xfId="0" applyNumberFormat="1" applyFont="1" applyFill="1" applyBorder="1" applyAlignment="1">
      <x:alignment wrapText="1"/>
    </x:xf>
    <x:xf numFmtId="0" fontId="9" fillId="0" borderId="7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/>
    <x:xf numFmtId="208" fontId="5" fillId="0" borderId="0" xfId="0" applyNumberFormat="1" applyFont="1" applyFill="1" applyBorder="1"/>
    <x:xf numFmtId="205" fontId="5" fillId="0" borderId="0" xfId="0" applyNumberFormat="1" applyFont="1" applyFill="1" applyBorder="1"/>
    <x:xf numFmtId="206" fontId="5" fillId="0" borderId="0" xfId="0" applyNumberFormat="1" applyFont="1" applyFill="1" applyBorder="1"/>
    <x:xf numFmtId="207" fontId="5" fillId="0" borderId="0" xfId="0" applyNumberFormat="1" applyFont="1" applyFill="1" applyBorder="1"/>
    <x:xf numFmtId="208" fontId="0" fillId="0" borderId="7" xfId="0" applyNumberFormat="1" applyFont="1" applyFill="1" applyBorder="1"/>
    <x:xf numFmtId="204" fontId="5" fillId="0" borderId="7" xfId="0" applyNumberFormat="1" applyFont="1" applyFill="1" applyBorder="1"/>
    <x:xf numFmtId="0" fontId="5" fillId="0" borderId="7" xfId="0" applyNumberFormat="1" applyFont="1" applyFill="1" applyBorder="1"/>
    <x:xf numFmtId="208" fontId="5" fillId="0" borderId="7" xfId="0" applyNumberFormat="1" applyFont="1" applyFill="1" applyBorder="1"/>
    <x:xf numFmtId="205" fontId="5" fillId="0" borderId="7" xfId="0" applyNumberFormat="1" applyFont="1" applyFill="1" applyBorder="1"/>
    <x:xf numFmtId="206" fontId="5" fillId="0" borderId="7" xfId="0" applyNumberFormat="1" applyFont="1" applyFill="1" applyBorder="1"/>
    <x:xf numFmtId="207" fontId="5" fillId="0" borderId="7" xfId="0" applyNumberFormat="1" applyFont="1" applyFill="1" applyBorder="1"/>
    <x:xf numFmtId="0" fontId="16" fillId="2" borderId="0" xfId="0" applyNumberFormat="1" applyFont="1" applyFill="1" applyBorder="1" applyAlignment="1">
      <x:alignment horizontal="left" vertical="center"/>
    </x:xf>
    <x:xf numFmtId="0" fontId="17" fillId="8" borderId="0" xfId="0" applyNumberFormat="1" applyFont="1" applyFill="1" applyBorder="1" applyAlignment="1">
      <x:alignment wrapText="1"/>
    </x:xf>
    <x:xf numFmtId="0" fontId="17" fillId="0" borderId="0" xfId="0" applyNumberFormat="1" applyFont="1" applyFill="1" applyBorder="1"/>
    <x:xf numFmtId="0" fontId="18" fillId="6" borderId="7" xfId="0" applyNumberFormat="1" applyFont="1" applyFill="1" applyBorder="1" applyAlignment="1">
      <x:alignment horizontal="center" vertical="center" wrapText="1"/>
    </x:xf>
    <x:xf numFmtId="0" fontId="17" fillId="0" borderId="7" xfId="0" applyNumberFormat="1" applyFont="1" applyFill="1" applyBorder="1"/>
    <x:xf numFmtId="208" fontId="17" fillId="0" borderId="7" xfId="0" applyNumberFormat="1" applyFont="1" applyFill="1" applyBorder="1"/>
    <x:xf numFmtId="204" fontId="19" fillId="0" borderId="7" xfId="0" applyNumberFormat="1" applyFont="1" applyFill="1" applyBorder="1"/>
    <x:xf numFmtId="0" fontId="19" fillId="0" borderId="7" xfId="0" applyNumberFormat="1" applyFont="1" applyFill="1" applyBorder="1"/>
    <x:xf numFmtId="200" fontId="17" fillId="0" borderId="7" xfId="0" applyNumberFormat="1" applyFont="1" applyFill="1" applyBorder="1"/>
    <x:xf numFmtId="0" fontId="19" fillId="3" borderId="7" xfId="0" applyNumberFormat="1" applyFont="1" applyFill="1" applyBorder="1"/>
    <x:xf numFmtId="208" fontId="19" fillId="0" borderId="7" xfId="0" applyNumberFormat="1" applyFont="1" applyFill="1" applyBorder="1"/>
    <x:xf numFmtId="205" fontId="19" fillId="0" borderId="7" xfId="0" applyNumberFormat="1" applyFont="1" applyFill="1" applyBorder="1"/>
    <x:xf numFmtId="206" fontId="19" fillId="0" borderId="7" xfId="0" applyNumberFormat="1" applyFont="1" applyFill="1" applyBorder="1"/>
    <x:xf numFmtId="207" fontId="19" fillId="0" borderId="7" xfId="0" applyNumberFormat="1" applyFont="1" applyFill="1" applyBorder="1"/>
    <x:xf numFmtId="0" fontId="19" fillId="0" borderId="0" xfId="0" applyNumberFormat="1" applyFont="1" applyFill="1" applyBorder="1"/>
    <x:xf numFmtId="0" fontId="19" fillId="3" borderId="0" xfId="0" applyNumberFormat="1" applyFont="1" applyFill="1" applyBorder="1"/>
    <x:xf numFmtId="208" fontId="19" fillId="0" borderId="0" xfId="0" applyNumberFormat="1" applyFont="1" applyFill="1" applyBorder="1"/>
    <x:xf numFmtId="204" fontId="19" fillId="0" borderId="0" xfId="0" applyNumberFormat="1" applyFont="1" applyFill="1" applyBorder="1"/>
    <x:xf numFmtId="205" fontId="19" fillId="0" borderId="0" xfId="0" applyNumberFormat="1" applyFont="1" applyFill="1" applyBorder="1"/>
    <x:xf numFmtId="206" fontId="19" fillId="0" borderId="0" xfId="0" applyNumberFormat="1" applyFont="1" applyFill="1" applyBorder="1"/>
    <x:xf numFmtId="207" fontId="19" fillId="0" borderId="0" xfId="0" applyNumberFormat="1" applyFont="1" applyFill="1" applyBorder="1"/>
    <x:xf numFmtId="0" fontId="20" fillId="0" borderId="7" xfId="0" applyNumberFormat="1" applyFont="1" applyFill="1" applyBorder="1"/>
    <x:xf numFmtId="0" fontId="20" fillId="0" borderId="7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right"/>
    </x:xf>
    <x:xf numFmtId="0" fontId="21" fillId="7" borderId="0" xfId="0" applyNumberFormat="1" applyFont="1" applyFill="1" applyBorder="1"/>
    <x:xf numFmtId="0" fontId="21" fillId="7" borderId="0" xfId="0" applyNumberFormat="1" applyFont="1" applyFill="1" applyBorder="1" applyAlignment="1">
      <x:alignment horizontal="center"/>
    </x:xf>
    <x:xf numFmtId="0" fontId="22" fillId="0" borderId="7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horizontal="right"/>
    </x:xf>
    <x:xf numFmtId="0" fontId="12" fillId="7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17">
    <x:dxf>
      <x:font>
        <x:color rgb="FFC00000"/>
      </x:font>
    </x:dxf>
    <x:dxf>
      <x:font>
        <x:color rgb="FF008000"/>
      </x:font>
    </x:dxf>
    <x:dxf>
      <x:font>
        <x:color rgb="FFC00000"/>
      </x:font>
    </x:dxf>
    <x:dxf>
      <x:font>
        <x:color rgb="FF008000"/>
      </x:font>
    </x:dxf>
    <x:dxf>
      <x:font>
        <x:color rgb="FFC00000"/>
      </x:font>
    </x:dxf>
    <x:dxf>
      <x:font>
        <x:color rgb="FF008000"/>
      </x:font>
    </x:dxf>
    <x:dxf>
      <x:font>
        <x:color rgb="FFC00000"/>
      </x:font>
    </x:dxf>
    <x:dxf>
      <x:font>
        <x:color rgb="FF008000"/>
      </x:font>
    </x:dxf>
    <x:dxf>
      <x:font>
        <x:color rgb="FFC00000"/>
      </x:font>
    </x:dxf>
    <x:dxf>
      <x:font>
        <x:color rgb="FF008000"/>
      </x:font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8E6"/>
        </x:patternFill>
      </x:fill>
    </x:dxf>
    <x:dxf>
      <x:font>
        <x:color rgb="FFC00000"/>
      </x:font>
    </x:dxf>
    <x:dxf>
      <x:font>
        <x:color rgb="FF008000"/>
      </x:font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8E6"/>
        </x:patternFill>
      </x:fill>
    </x:dxf>
    <x:dxf>
      <x:font>
        <x:b/>
        <x:color rgb="FFC00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b0da6ed41d4180" /><Relationship Type="http://schemas.openxmlformats.org/officeDocument/2006/relationships/theme" Target="/xl/theme/theme1.xml" Id="R922cd32b89634e25" /><Relationship Type="http://schemas.openxmlformats.org/officeDocument/2006/relationships/sharedStrings" Target="/xl/sharedStrings.xml" Id="R17f00d3308604f0d" /><Relationship Type="http://schemas.openxmlformats.org/officeDocument/2006/relationships/worksheet" Target="/xl/worksheets/sheet1.xml" Id="R0af84ba53f644b24" /><Relationship Type="http://schemas.openxmlformats.org/officeDocument/2006/relationships/worksheet" Target="/xl/worksheets/sheet2.xml" Id="R242ec19767664a49" /><Relationship Type="http://schemas.openxmlformats.org/officeDocument/2006/relationships/worksheet" Target="/xl/worksheets/sheet3.xml" Id="R0ced2221b6f044fe" /><Relationship Type="http://schemas.openxmlformats.org/officeDocument/2006/relationships/worksheet" Target="/xl/worksheets/sheet4.xml" Id="Raf02b7e4826d490b" /><Relationship Type="http://schemas.openxmlformats.org/officeDocument/2006/relationships/worksheet" Target="/xl/worksheets/sheet5.xml" Id="R2d400055679347a5" /><Relationship Type="http://schemas.microsoft.com/office/2017/10/relationships/person" Target="/xl/persons/person.xml" Id="Rbd5a0d03170f4967" /></Relationships>
</file>

<file path=xl/persons/person.xml><?xml version="1.0" encoding="utf-8"?>
<xltc:personList xmlns:xltc="http://schemas.microsoft.com/office/spreadsheetml/2018/threadedcomments">
  <xltc:person displayName="User" id="{98C2C938-F27F-41E1-BA62-7F6EAF5C4924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E8" dT="2026-09-02T02:32:33.345" personId="{98C2C938-F27F-41E1-BA62-7F6EAF5C4924}" id="{21782D86-C01D-4E2E-A8ED-7EBE93845071}">
    <xltc:text>Source: https://quote.eastmoney.com/sh600172.html; observed 2026-09-02 10:04:00+08:00.</xltc:text>
  </xltc:threadedComment>
  <xltc:threadedComment ref="E9" dT="2026-09-02T02:32:33.345" personId="{98C2C938-F27F-41E1-BA62-7F6EAF5C4924}" id="{3F747A45-66B2-41F3-8E8B-A24A02235C3B}">
    <xltc:text>Source: https://quote.eastmoney.com/sh603045.html; observed 2026-09-02 10:04:02+08:00.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F6" dT="2026-09-02T02:32:33.345" personId="{98C2C938-F27F-41E1-BA62-7F6EAF5C4924}" id="{30C3B8E8-2620-439C-B509-529DCA753FE1}">
    <xltc:text>推定成交均价，需用券商成交回报覆盖；成本价可能已包含买入费用。</xltc:text>
  </xltc:threadedComment>
  <xltc:threadedComment ref="F7" dT="2026-09-02T02:32:33.345" personId="{98C2C938-F27F-41E1-BA62-7F6EAF5C4924}" id="{EB67BAA2-E7D2-4DB6-9C93-1BEA40DF0C05}">
    <xltc:text>推定成交均价，需用券商成交回报覆盖；成本价可能已包含买入费用。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86c1e1338ad14655" /><Relationship Type="http://schemas.openxmlformats.org/officeDocument/2006/relationships/vmlDrawing" Target="/xl/drawings/vmldrawing.vml" Id="Ra1a5cb93b8af4b17" /><Relationship Type="http://schemas.microsoft.com/office/2017/10/relationships/threadedComment" Target="/xl/threadedcomments/threadedcomment.xml" Id="R10bfa15934ad476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b572dd5b4321452e" /><Relationship Type="http://schemas.openxmlformats.org/officeDocument/2006/relationships/vmlDrawing" Target="/xl/drawings/vmldrawing2.vml" Id="Rd4dcdd802da64aaa" /><Relationship Type="http://schemas.microsoft.com/office/2017/10/relationships/threadedComment" Target="/xl/threadedcomments/threadedcomment2.xml" Id="Rdfd587771fc14ae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3" hidden="0" customWidth="1"/>
    <x:col min="3" max="3" width="9" hidden="0" customWidth="1"/>
    <x:col min="4" max="4" width="11" hidden="0" customWidth="1"/>
    <x:col min="5" max="5" width="11" hidden="0" customWidth="1"/>
    <x:col min="6" max="6" width="14" hidden="0" customWidth="1"/>
    <x:col min="7" max="7" width="14" hidden="0" customWidth="1"/>
    <x:col min="8" max="8" width="12" hidden="0" customWidth="1"/>
    <x:col min="9" max="9" width="12" hidden="0" customWidth="1"/>
    <x:col min="10" max="10" width="12" hidden="0" customWidth="1"/>
    <x:col min="11" max="11" width="13" hidden="0" customWidth="1"/>
    <x:col min="12" max="12" width="13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</x:cols>
  <x:sheetData>
    <x:row r="1" ht="32" customHeight="1">
      <x:c r="A1" s="53" t="str">
        <x:v>A股超短持仓与风险总览</x:v>
      </x:c>
      <x:c r="B1" s="53" t="str">
        <x:v>A股超短持仓与风险总览</x:v>
      </x:c>
      <x:c r="C1" s="53" t="str">
        <x:v>A股超短持仓与风险总览</x:v>
      </x:c>
      <x:c r="D1" s="53" t="str">
        <x:v>A股超短持仓与风险总览</x:v>
      </x:c>
      <x:c r="E1" s="53" t="str">
        <x:v>A股超短持仓与风险总览</x:v>
      </x:c>
      <x:c r="F1" s="53" t="str">
        <x:v>A股超短持仓与风险总览</x:v>
      </x:c>
      <x:c r="G1" s="53" t="str">
        <x:v>A股超短持仓与风险总览</x:v>
      </x:c>
      <x:c r="H1" s="53" t="str">
        <x:v>A股超短持仓与风险总览</x:v>
      </x:c>
      <x:c r="I1" s="53" t="str">
        <x:v>A股超短持仓与风险总览</x:v>
      </x:c>
      <x:c r="J1" s="53" t="str">
        <x:v>A股超短持仓与风险总览</x:v>
      </x:c>
      <x:c r="K1" s="53" t="str">
        <x:v>A股超短持仓与风险总览</x:v>
      </x:c>
      <x:c r="L1" s="53" t="str">
        <x:v>A股超短持仓与风险总览</x:v>
      </x:c>
      <x:c r="M1" s="53" t="str">
        <x:v>A股超短持仓与风险总览</x:v>
      </x:c>
      <x:c r="N1" s="53" t="str">
        <x:v>A股超短持仓与风险总览</x:v>
      </x:c>
      <x:c r="O1" s="53" t="str">
        <x:v>A股超短持仓与风险总览</x:v>
      </x:c>
      <x:c r="P1" s="53" t="str">
        <x:v>A股超短持仓与风险总览</x:v>
      </x:c>
      <x:c r="Q1" s="53" t="str">
        <x:v>A股超短持仓与风险总览</x:v>
      </x:c>
    </x:row>
    <x:row r="2">
      <x:c r="A2" s="112" t="str">
        <x:v>快照ID：ASU-20260902-100402-600172-603045 ｜ 数据截止：2026-09-02 10:04:02+08:00 ｜ 行情可更新，策略须重新复核</x:v>
      </x:c>
      <x:c r="B2" s="112" t="str">
        <x:v>快照ID：ASU-20260902-100402-600172-603045 ｜ 数据截止：2026-09-02 10:04:02+08:00 ｜ 行情可更新，策略须重新复核</x:v>
      </x:c>
      <x:c r="C2" s="112" t="str">
        <x:v>快照ID：ASU-20260902-100402-600172-603045 ｜ 数据截止：2026-09-02 10:04:02+08:00 ｜ 行情可更新，策略须重新复核</x:v>
      </x:c>
      <x:c r="D2" s="112" t="str">
        <x:v>快照ID：ASU-20260902-100402-600172-603045 ｜ 数据截止：2026-09-02 10:04:02+08:00 ｜ 行情可更新，策略须重新复核</x:v>
      </x:c>
      <x:c r="E2" s="112" t="str">
        <x:v>快照ID：ASU-20260902-100402-600172-603045 ｜ 数据截止：2026-09-02 10:04:02+08:00 ｜ 行情可更新，策略须重新复核</x:v>
      </x:c>
      <x:c r="F2" s="112" t="str">
        <x:v>快照ID：ASU-20260902-100402-600172-603045 ｜ 数据截止：2026-09-02 10:04:02+08:00 ｜ 行情可更新，策略须重新复核</x:v>
      </x:c>
      <x:c r="G2" s="112" t="str">
        <x:v>快照ID：ASU-20260902-100402-600172-603045 ｜ 数据截止：2026-09-02 10:04:02+08:00 ｜ 行情可更新，策略须重新复核</x:v>
      </x:c>
      <x:c r="H2" s="112" t="str">
        <x:v>快照ID：ASU-20260902-100402-600172-603045 ｜ 数据截止：2026-09-02 10:04:02+08:00 ｜ 行情可更新，策略须重新复核</x:v>
      </x:c>
      <x:c r="I2" s="112" t="str">
        <x:v>快照ID：ASU-20260902-100402-600172-603045 ｜ 数据截止：2026-09-02 10:04:02+08:00 ｜ 行情可更新，策略须重新复核</x:v>
      </x:c>
      <x:c r="J2" s="112" t="str">
        <x:v>快照ID：ASU-20260902-100402-600172-603045 ｜ 数据截止：2026-09-02 10:04:02+08:00 ｜ 行情可更新，策略须重新复核</x:v>
      </x:c>
      <x:c r="K2" s="112" t="str">
        <x:v>快照ID：ASU-20260902-100402-600172-603045 ｜ 数据截止：2026-09-02 10:04:02+08:00 ｜ 行情可更新，策略须重新复核</x:v>
      </x:c>
      <x:c r="L2" s="112" t="str">
        <x:v>快照ID：ASU-20260902-100402-600172-603045 ｜ 数据截止：2026-09-02 10:04:02+08:00 ｜ 行情可更新，策略须重新复核</x:v>
      </x:c>
      <x:c r="M2" s="112" t="str">
        <x:v>快照ID：ASU-20260902-100402-600172-603045 ｜ 数据截止：2026-09-02 10:04:02+08:00 ｜ 行情可更新，策略须重新复核</x:v>
      </x:c>
      <x:c r="N2" s="112" t="str">
        <x:v>快照ID：ASU-20260902-100402-600172-603045 ｜ 数据截止：2026-09-02 10:04:02+08:00 ｜ 行情可更新，策略须重新复核</x:v>
      </x:c>
      <x:c r="O2" s="112" t="str">
        <x:v>快照ID：ASU-20260902-100402-600172-603045 ｜ 数据截止：2026-09-02 10:04:02+08:00 ｜ 行情可更新，策略须重新复核</x:v>
      </x:c>
      <x:c r="P2" s="112" t="str">
        <x:v>快照ID：ASU-20260902-100402-600172-603045 ｜ 数据截止：2026-09-02 10:04:02+08:00 ｜ 行情可更新，策略须重新复核</x:v>
      </x:c>
      <x:c r="Q2" s="112" t="str">
        <x:v>快照ID：ASU-20260902-100402-600172-603045 ｜ 数据截止：2026-09-02 10:04:02+08:00 ｜ 行情可更新，策略须重新复核</x:v>
      </x:c>
    </x:row>
    <x:row r="3">
      <x:c r="A3" s="113" t="str">
        <x:v>账户净值</x:v>
      </x:c>
      <x:c r="B3" s="113" t="str"/>
      <x:c r="C3" s="113" t="str">
        <x:v>总成本</x:v>
      </x:c>
      <x:c r="D3" s="113" t="str"/>
      <x:c r="E3" s="113" t="str">
        <x:v>当前市值</x:v>
      </x:c>
      <x:c r="F3" s="113" t="str"/>
      <x:c r="G3" s="113" t="str">
        <x:v>总仓位</x:v>
      </x:c>
      <x:c r="H3" s="113" t="str"/>
      <x:c r="I3" s="113" t="str">
        <x:v>浮动盈亏</x:v>
      </x:c>
      <x:c r="J3" s="113" t="str"/>
      <x:c r="K3" s="113" t="str">
        <x:v>持仓收益率</x:v>
      </x:c>
      <x:c r="L3" s="113" t="str"/>
      <x:c r="M3" s="113" t="str">
        <x:v>合计一档压力</x:v>
      </x:c>
      <x:c r="N3" s="113" t="str"/>
      <x:c r="O3" s="55"/>
      <x:c r="P3" s="55"/>
      <x:c r="Q3" s="55"/>
    </x:row>
    <x:row r="4">
      <x:c r="A4" s="114" t="n">
        <x:f>'参数设置'!B5</x:f>
        <x:v>30000</x:v>
      </x:c>
      <x:c r="B4" s="115"/>
      <x:c r="C4" s="114" t="n">
        <x:f>SUM(F8:F9)</x:f>
        <x:v>19574.6</x:v>
      </x:c>
      <x:c r="D4" s="115"/>
      <x:c r="E4" s="114" t="n">
        <x:f>SUM(G8:G9)</x:f>
        <x:v>19910</x:v>
      </x:c>
      <x:c r="F4" s="115"/>
      <x:c r="G4" s="116" t="n">
        <x:f>E4/A4</x:f>
        <x:v>0.6636666666666666</x:v>
      </x:c>
      <x:c r="H4" s="117"/>
      <x:c r="I4" s="118" t="n">
        <x:f>E4-C4</x:f>
        <x:v>335.40000000000146</x:v>
      </x:c>
      <x:c r="J4" s="119"/>
      <x:c r="K4" s="120" t="n">
        <x:f>IF(C4=0,0,I4/C4)</x:f>
        <x:v>0.017134449746099612</x:v>
      </x:c>
      <x:c r="L4" s="121"/>
      <x:c r="M4" s="116" t="n">
        <x:f>SUM(O8:O9)</x:f>
        <x:v>0.06636666666666667</x:v>
      </x:c>
      <x:c r="N4" s="117"/>
      <x:c r="O4" s="55"/>
      <x:c r="P4" s="55"/>
      <x:c r="Q4" s="55"/>
    </x:row>
    <x:row r="5">
      <x:c r="A5" s="55"/>
      <x:c r="B5" s="55"/>
      <x:c r="C5" s="55"/>
      <x:c r="D5" s="55"/>
      <x:c r="E5" s="55"/>
      <x:c r="F5" s="55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</x:row>
    <x:row r="6" ht="24" customHeight="1">
      <x:c r="A6" s="56" t="str">
        <x:v>当前持仓（黄色输入可更新最新价与可卖数量；红涨/盈，绿跌/亏）</x:v>
      </x:c>
      <x:c r="B6" s="56" t="str">
        <x:v>当前持仓（黄色输入可更新最新价与可卖数量；红涨/盈，绿跌/亏）</x:v>
      </x:c>
      <x:c r="C6" s="56" t="str">
        <x:v>当前持仓（黄色输入可更新最新价与可卖数量；红涨/盈，绿跌/亏）</x:v>
      </x:c>
      <x:c r="D6" s="56" t="str">
        <x:v>当前持仓（黄色输入可更新最新价与可卖数量；红涨/盈，绿跌/亏）</x:v>
      </x:c>
      <x:c r="E6" s="56" t="str">
        <x:v>当前持仓（黄色输入可更新最新价与可卖数量；红涨/盈，绿跌/亏）</x:v>
      </x:c>
      <x:c r="F6" s="56" t="str">
        <x:v>当前持仓（黄色输入可更新最新价与可卖数量；红涨/盈，绿跌/亏）</x:v>
      </x:c>
      <x:c r="G6" s="56" t="str">
        <x:v>当前持仓（黄色输入可更新最新价与可卖数量；红涨/盈，绿跌/亏）</x:v>
      </x:c>
      <x:c r="H6" s="56" t="str">
        <x:v>当前持仓（黄色输入可更新最新价与可卖数量；红涨/盈，绿跌/亏）</x:v>
      </x:c>
      <x:c r="I6" s="56" t="str">
        <x:v>当前持仓（黄色输入可更新最新价与可卖数量；红涨/盈，绿跌/亏）</x:v>
      </x:c>
      <x:c r="J6" s="56" t="str">
        <x:v>当前持仓（黄色输入可更新最新价与可卖数量；红涨/盈，绿跌/亏）</x:v>
      </x:c>
      <x:c r="K6" s="56" t="str">
        <x:v>当前持仓（黄色输入可更新最新价与可卖数量；红涨/盈，绿跌/亏）</x:v>
      </x:c>
      <x:c r="L6" s="56" t="str">
        <x:v>当前持仓（黄色输入可更新最新价与可卖数量；红涨/盈，绿跌/亏）</x:v>
      </x:c>
      <x:c r="M6" s="56" t="str">
        <x:v>当前持仓（黄色输入可更新最新价与可卖数量；红涨/盈，绿跌/亏）</x:v>
      </x:c>
      <x:c r="N6" s="56" t="str">
        <x:v>当前持仓（黄色输入可更新最新价与可卖数量；红涨/盈，绿跌/亏）</x:v>
      </x:c>
      <x:c r="O6" s="56" t="str">
        <x:v>当前持仓（黄色输入可更新最新价与可卖数量；红涨/盈，绿跌/亏）</x:v>
      </x:c>
      <x:c r="P6" s="56" t="str">
        <x:v>当前持仓（黄色输入可更新最新价与可卖数量；红涨/盈，绿跌/亏）</x:v>
      </x:c>
      <x:c r="Q6" s="56" t="str">
        <x:v>当前持仓（黄色输入可更新最新价与可卖数量；红涨/盈，绿跌/亏）</x:v>
      </x:c>
    </x:row>
    <x:row r="7">
      <x:c r="A7" s="59" t="str">
        <x:v>代码</x:v>
      </x:c>
      <x:c r="B7" s="59" t="str">
        <x:v>证券</x:v>
      </x:c>
      <x:c r="C7" s="59" t="str">
        <x:v>股数</x:v>
      </x:c>
      <x:c r="D7" s="59" t="str">
        <x:v>成本价</x:v>
      </x:c>
      <x:c r="E7" s="59" t="str">
        <x:v>最新价</x:v>
      </x:c>
      <x:c r="F7" s="59" t="str">
        <x:v>成本金额</x:v>
      </x:c>
      <x:c r="G7" s="59" t="str">
        <x:v>当前市值</x:v>
      </x:c>
      <x:c r="H7" s="59" t="str">
        <x:v>仓位占比</x:v>
      </x:c>
      <x:c r="I7" s="59" t="str">
        <x:v>浮动盈亏</x:v>
      </x:c>
      <x:c r="J7" s="59" t="str">
        <x:v>收益率</x:v>
      </x:c>
      <x:c r="K7" s="59" t="str">
        <x:v>结构失效价</x:v>
      </x:c>
      <x:c r="L7" s="59" t="str">
        <x:v>第一压力</x:v>
      </x:c>
      <x:c r="M7" s="59" t="str">
        <x:v>价格风险（未含费）</x:v>
      </x:c>
      <x:c r="N7" s="59" t="str">
        <x:v>价格风险/账户</x:v>
      </x:c>
      <x:c r="O7" s="59" t="str">
        <x:v>一档跌停压力</x:v>
      </x:c>
      <x:c r="P7" s="59" t="str">
        <x:v>压力测试净R</x:v>
      </x:c>
      <x:c r="Q7" s="59" t="str">
        <x:v>检查</x:v>
      </x:c>
    </x:row>
    <x:row r="8">
      <x:c r="A8" s="62" t="str">
        <x:v>600172</x:v>
      </x:c>
      <x:c r="B8" s="62" t="str">
        <x:v>黄河旋风</x:v>
      </x:c>
      <x:c r="C8" s="62" t="n">
        <x:v>600</x:v>
      </x:c>
      <x:c r="D8" s="65" t="n">
        <x:v>14.569</x:v>
      </x:c>
      <x:c r="E8" s="64" t="n">
        <x:v>15.23</x:v>
      </x:c>
      <x:c r="F8" s="66" t="n">
        <x:f>C8*D8</x:f>
        <x:v>8741.4</x:v>
      </x:c>
      <x:c r="G8" s="66" t="n">
        <x:f>C8*E8</x:f>
        <x:v>9138</x:v>
      </x:c>
      <x:c r="H8" s="69" t="n">
        <x:f>G8/$A$4</x:f>
        <x:v>0.3046</x:v>
      </x:c>
      <x:c r="I8" s="67" t="n">
        <x:f>G8-F8</x:f>
        <x:v>396.60000000000036</x:v>
      </x:c>
      <x:c r="J8" s="122" t="n">
        <x:f>IF(F8=0,0,I8/F8)</x:f>
        <x:v>0.0453703068158419</x:v>
      </x:c>
      <x:c r="K8" s="64" t="n">
        <x:v>14.16</x:v>
      </x:c>
      <x:c r="L8" s="64" t="n">
        <x:v>15.5</x:v>
      </x:c>
      <x:c r="M8" s="66" t="n">
        <x:f>MAX(0,(D8-K8)*C8)</x:f>
        <x:v>245.40000000000043</x:v>
      </x:c>
      <x:c r="N8" s="69" t="n">
        <x:f>M8/$A$4</x:f>
        <x:v>0.008180000000000014</x:v>
      </x:c>
      <x:c r="O8" s="69" t="n">
        <x:f>G8*'参数设置'!$B$13/$A$4</x:f>
        <x:v>0.03046</x:v>
      </x:c>
      <x:c r="P8" s="123" t="n">
        <x:f>'参数设置'!V6</x:f>
        <x:v>2.0555827007793175</x:v>
      </x:c>
      <x:c r="Q8" s="62" t="str">
        <x:f>IF(AND(H8&lt;='参数设置'!$B$15,O8&lt;='参数设置'!$B$12,P8&gt;='参数设置'!$B$18),"PASS","REVIEW")</x:f>
        <x:v>REVIEW</x:v>
      </x:c>
    </x:row>
    <x:row r="9">
      <x:c r="A9" s="62" t="str">
        <x:v>603045</x:v>
      </x:c>
      <x:c r="B9" s="62" t="str">
        <x:v>福达合金</x:v>
      </x:c>
      <x:c r="C9" s="62" t="n">
        <x:v>200</x:v>
      </x:c>
      <x:c r="D9" s="65" t="n">
        <x:v>54.166</x:v>
      </x:c>
      <x:c r="E9" s="64" t="n">
        <x:v>53.86</x:v>
      </x:c>
      <x:c r="F9" s="66" t="n">
        <x:f>C9*D9</x:f>
        <x:v>10833.199999999999</x:v>
      </x:c>
      <x:c r="G9" s="66" t="n">
        <x:f>C9*E9</x:f>
        <x:v>10772</x:v>
      </x:c>
      <x:c r="H9" s="69" t="n">
        <x:f>G9/$A$4</x:f>
        <x:v>0.35906666666666665</x:v>
      </x:c>
      <x:c r="I9" s="67" t="n">
        <x:f>G9-F9</x:f>
        <x:v>-61.19999999999891</x:v>
      </x:c>
      <x:c r="J9" s="122" t="n">
        <x:f>IF(F9=0,0,I9/F9)</x:f>
        <x:v>-0.005649300299080504</x:v>
      </x:c>
      <x:c r="K9" s="64" t="n">
        <x:v>53.78</x:v>
      </x:c>
      <x:c r="L9" s="64" t="n">
        <x:v>55.3</x:v>
      </x:c>
      <x:c r="M9" s="66" t="n">
        <x:f>MAX(0,(D9-K9)*C9)</x:f>
        <x:v>77.19999999999914</x:v>
      </x:c>
      <x:c r="N9" s="69" t="n">
        <x:f>M9/$A$4</x:f>
        <x:v>0.0025733333333333047</x:v>
      </x:c>
      <x:c r="O9" s="69" t="n">
        <x:f>G9*'参数设置'!$B$13/$A$4</x:f>
        <x:v>0.03590666666666667</x:v>
      </x:c>
      <x:c r="P9" s="123" t="n">
        <x:f>'参数设置'!V7</x:f>
        <x:v>2.093657887807563</x:v>
      </x:c>
      <x:c r="Q9" s="62" t="str">
        <x:f>IF(AND(H9&lt;='参数设置'!$B$15,O9&lt;='参数设置'!$B$12,P9&gt;='参数设置'!$B$18),"PASS","REVIEW")</x:f>
        <x:v>REVIEW</x:v>
      </x:c>
    </x:row>
    <x:row r="10">
      <x:c r="A10" s="55"/>
      <x:c r="B10" s="55"/>
      <x:c r="C10" s="55"/>
      <x:c r="D10" s="55"/>
      <x:c r="E10" s="55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</x:row>
    <x:row r="11" ht="24" customHeight="1">
      <x:c r="A11" s="56" t="str">
        <x:v>结论与硬规则</x:v>
      </x:c>
      <x:c r="B11" s="56" t="str">
        <x:v>结论与硬规则</x:v>
      </x:c>
      <x:c r="C11" s="56" t="str">
        <x:v>结论与硬规则</x:v>
      </x:c>
      <x:c r="D11" s="56" t="str">
        <x:v>结论与硬规则</x:v>
      </x:c>
      <x:c r="E11" s="56" t="str">
        <x:v>结论与硬规则</x:v>
      </x:c>
      <x:c r="F11" s="56" t="str">
        <x:v>结论与硬规则</x:v>
      </x:c>
      <x:c r="G11" s="56" t="str">
        <x:v>结论与硬规则</x:v>
      </x:c>
      <x:c r="H11" s="56" t="str">
        <x:v>结论与硬规则</x:v>
      </x:c>
      <x:c r="I11" s="56" t="str">
        <x:v>结论与硬规则</x:v>
      </x:c>
      <x:c r="J11" s="56" t="str">
        <x:v>结论与硬规则</x:v>
      </x:c>
      <x:c r="K11" s="56" t="str">
        <x:v>结论与硬规则</x:v>
      </x:c>
      <x:c r="L11" s="56" t="str">
        <x:v>结论与硬规则</x:v>
      </x:c>
      <x:c r="M11" s="56" t="str">
        <x:v>结论与硬规则</x:v>
      </x:c>
      <x:c r="N11" s="56" t="str">
        <x:v>结论与硬规则</x:v>
      </x:c>
      <x:c r="O11" s="56" t="str">
        <x:v>结论与硬规则</x:v>
      </x:c>
      <x:c r="P11" s="56" t="str">
        <x:v>结论与硬规则</x:v>
      </x:c>
      <x:c r="Q11" s="56" t="str">
        <x:v>结论与硬规则</x:v>
      </x:c>
    </x:row>
    <x:row r="12">
      <x:c r="A12" s="124" t="str">
        <x:v>结论</x:v>
      </x:c>
      <x:c r="B12" s="125" t="str">
        <x:v>当前两笔合计成本仓位65.25%，超过验证档60%总仓上限；福达合金单股仓位36.11%，超过主板单股30%上限。</x:v>
      </x:c>
      <x:c r="C12" s="125"/>
      <x:c r="D12" s="125"/>
      <x:c r="E12" s="125"/>
      <x:c r="F12" s="125"/>
      <x:c r="G12" s="125"/>
      <x:c r="H12" s="125"/>
      <x:c r="I12" s="125"/>
      <x:c r="J12" s="125"/>
      <x:c r="K12" s="125"/>
      <x:c r="L12" s="125"/>
      <x:c r="M12" s="125"/>
      <x:c r="N12" s="125"/>
      <x:c r="O12" s="125"/>
      <x:c r="P12" s="125"/>
      <x:c r="Q12" s="126"/>
    </x:row>
    <x:row r="13">
      <x:c r="A13" s="127" t="str">
        <x:v>优先级</x:v>
      </x:c>
      <x:c r="B13" s="128" t="str">
        <x:v>先降低福达合金，再保护黄河旋风利润；两只都禁止继续加仓。</x:v>
      </x:c>
      <x:c r="C13" s="128"/>
      <x:c r="D13" s="128"/>
      <x:c r="E13" s="128"/>
      <x:c r="F13" s="128"/>
      <x:c r="G13" s="128"/>
      <x:c r="H13" s="128"/>
      <x:c r="I13" s="128"/>
      <x:c r="J13" s="128"/>
      <x:c r="K13" s="128"/>
      <x:c r="L13" s="128"/>
      <x:c r="M13" s="128"/>
      <x:c r="N13" s="128"/>
      <x:c r="O13" s="128"/>
      <x:c r="P13" s="128"/>
      <x:c r="Q13" s="129"/>
    </x:row>
    <x:row r="14">
      <x:c r="A14" s="127" t="str">
        <x:v>T+1</x:v>
      </x:c>
      <x:c r="B14" s="128" t="str">
        <x:v>假设两笔均为2026-09-02新买，今日可卖数量按0处理；以券商实际可卖数量为准。</x:v>
      </x:c>
      <x:c r="C14" s="128"/>
      <x:c r="D14" s="128"/>
      <x:c r="E14" s="128"/>
      <x:c r="F14" s="128"/>
      <x:c r="G14" s="128"/>
      <x:c r="H14" s="128"/>
      <x:c r="I14" s="128"/>
      <x:c r="J14" s="128"/>
      <x:c r="K14" s="128"/>
      <x:c r="L14" s="128"/>
      <x:c r="M14" s="128"/>
      <x:c r="N14" s="128"/>
      <x:c r="O14" s="128"/>
      <x:c r="P14" s="128"/>
      <x:c r="Q14" s="129"/>
    </x:row>
    <x:row r="15">
      <x:c r="A15" s="127" t="str">
        <x:v>下一步</x:v>
      </x:c>
      <x:c r="B15" s="128" t="str">
        <x:v>若下一交易日全部可卖：福达合金优先200股降至100股；黄河旋风在15.50附近或无法守住关键位时600股降至500股。</x:v>
      </x:c>
      <x:c r="C15" s="128"/>
      <x:c r="D15" s="128"/>
      <x:c r="E15" s="128"/>
      <x:c r="F15" s="128"/>
      <x:c r="G15" s="128"/>
      <x:c r="H15" s="128"/>
      <x:c r="I15" s="128"/>
      <x:c r="J15" s="128"/>
      <x:c r="K15" s="128"/>
      <x:c r="L15" s="128"/>
      <x:c r="M15" s="128"/>
      <x:c r="N15" s="128"/>
      <x:c r="O15" s="128"/>
      <x:c r="P15" s="128"/>
      <x:c r="Q15" s="129"/>
    </x:row>
    <x:row r="16">
      <x:c r="A16" s="130" t="str">
        <x:v>风险提示</x:v>
      </x:c>
      <x:c r="B16" s="131" t="str">
        <x:v>结构失效、跳空、跌停或停牌可能使实际亏损超过计划风险；跌停未成交只能记录为已触发、未成交。</x:v>
      </x:c>
      <x:c r="C16" s="131"/>
      <x:c r="D16" s="131"/>
      <x:c r="E16" s="131"/>
      <x:c r="F16" s="131"/>
      <x:c r="G16" s="131"/>
      <x:c r="H16" s="131"/>
      <x:c r="I16" s="131"/>
      <x:c r="J16" s="131"/>
      <x:c r="K16" s="131"/>
      <x:c r="L16" s="131"/>
      <x:c r="M16" s="131"/>
      <x:c r="N16" s="131"/>
      <x:c r="O16" s="131"/>
      <x:c r="P16" s="131"/>
      <x:c r="Q16" s="132"/>
    </x:row>
  </x:sheetData>
  <x:mergeCells>
    <x:mergeCell ref="A1:Q1"/>
    <x:mergeCell ref="A2:Q2"/>
    <x:mergeCell ref="A3:B3"/>
    <x:mergeCell ref="A4:B4"/>
    <x:mergeCell ref="C3:D3"/>
    <x:mergeCell ref="C4:D4"/>
    <x:mergeCell ref="E3:F3"/>
    <x:mergeCell ref="E4:F4"/>
    <x:mergeCell ref="G3:H3"/>
    <x:mergeCell ref="G4:H4"/>
    <x:mergeCell ref="I3:J3"/>
    <x:mergeCell ref="I4:J4"/>
    <x:mergeCell ref="K3:L3"/>
    <x:mergeCell ref="K4:L4"/>
    <x:mergeCell ref="M3:N3"/>
    <x:mergeCell ref="M4:N4"/>
    <x:mergeCell ref="A6:Q6"/>
    <x:mergeCell ref="A11:Q11"/>
    <x:mergeCell ref="B12:Q12"/>
    <x:mergeCell ref="B13:Q13"/>
    <x:mergeCell ref="B14:Q14"/>
    <x:mergeCell ref="B15:Q15"/>
    <x:mergeCell ref="B16:Q16"/>
  </x:mergeCells>
  <x:conditionalFormatting sqref="I4:J4">
    <x:cfRule type="cellIs" dxfId="2" priority="1" operator="greaterThan">
      <x:formula>0</x:formula>
    </x:cfRule>
    <x:cfRule type="cellIs" dxfId="3" priority="2" operator="lessThan">
      <x:formula>0</x:formula>
    </x:cfRule>
  </x:conditionalFormatting>
  <x:conditionalFormatting sqref="K4:L4">
    <x:cfRule type="cellIs" dxfId="4" priority="3" operator="greaterThan">
      <x:formula>0</x:formula>
    </x:cfRule>
    <x:cfRule type="cellIs" dxfId="5" priority="4" operator="lessThan">
      <x:formula>0</x:formula>
    </x:cfRule>
  </x:conditionalFormatting>
  <x:conditionalFormatting sqref="E8:E9">
    <x:cfRule type="expression" dxfId="6" priority="5">
      <x:formula>E8&gt;D8</x:formula>
    </x:cfRule>
    <x:cfRule type="expression" dxfId="7" priority="6">
      <x:formula>E8&lt;D8</x:formula>
    </x:cfRule>
  </x:conditionalFormatting>
  <x:conditionalFormatting sqref="I8:J9">
    <x:cfRule type="cellIs" dxfId="8" priority="7" operator="greaterThan">
      <x:formula>0</x:formula>
    </x:cfRule>
    <x:cfRule type="cellIs" dxfId="9" priority="8" operator="lessThan">
      <x:formula>0</x:formula>
    </x:cfRule>
  </x:conditionalFormatting>
  <x:conditionalFormatting sqref="Q8:Q9">
    <x:cfRule type="containsText" dxfId="10" priority="9" operator="containsText" text="PASS"/>
    <x:cfRule type="containsText" dxfId="11" priority="10" operator="containsText" text="REVIEW"/>
  </x:conditionalFormatting>
  <x:pageMargins left="0.7" right="0.7" top="0.75" bottom="0.75" header="0.3" footer="0.3"/>
  <x:legacyDrawing xmlns:r="http://schemas.openxmlformats.org/officeDocument/2006/relationships" r:id="Ra1a5cb93b8af4b1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7" hidden="0" customWidth="1"/>
    <x:col min="3" max="3" width="3" hidden="0" customWidth="1"/>
    <x:col min="4" max="4" width="14" hidden="0" customWidth="1"/>
    <x:col min="5" max="5" width="9" hidden="0" customWidth="1"/>
    <x:col min="6" max="6" width="15" hidden="0" customWidth="1"/>
    <x:col min="7" max="7" width="15" hidden="0" customWidth="1"/>
    <x:col min="8" max="8" width="15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</x:cols>
  <x:sheetData>
    <x:row r="1" ht="32" customHeight="1">
      <x:c r="A1" s="53" t="str">
        <x:v>A股超短交易参数与净盈亏比压力测试</x:v>
      </x:c>
      <x:c r="B1" s="53" t="str">
        <x:v>A股超短交易参数与净盈亏比压力测试</x:v>
      </x:c>
      <x:c r="C1" s="53" t="str">
        <x:v>A股超短交易参数与净盈亏比压力测试</x:v>
      </x:c>
      <x:c r="D1" s="53" t="str">
        <x:v>A股超短交易参数与净盈亏比压力测试</x:v>
      </x:c>
      <x:c r="E1" s="53" t="str">
        <x:v>A股超短交易参数与净盈亏比压力测试</x:v>
      </x:c>
      <x:c r="F1" s="53" t="str">
        <x:v>A股超短交易参数与净盈亏比压力测试</x:v>
      </x:c>
      <x:c r="G1" s="53" t="str">
        <x:v>A股超短交易参数与净盈亏比压力测试</x:v>
      </x:c>
      <x:c r="H1" s="53" t="str">
        <x:v>A股超短交易参数与净盈亏比压力测试</x:v>
      </x:c>
      <x:c r="I1" s="53" t="str">
        <x:v>A股超短交易参数与净盈亏比压力测试</x:v>
      </x:c>
      <x:c r="J1" s="53" t="str">
        <x:v>A股超短交易参数与净盈亏比压力测试</x:v>
      </x:c>
      <x:c r="K1" s="53" t="str">
        <x:v>A股超短交易参数与净盈亏比压力测试</x:v>
      </x:c>
      <x:c r="L1" s="53" t="str">
        <x:v>A股超短交易参数与净盈亏比压力测试</x:v>
      </x:c>
      <x:c r="M1" s="53" t="str">
        <x:v>A股超短交易参数与净盈亏比压力测试</x:v>
      </x:c>
      <x:c r="N1" s="53" t="str">
        <x:v>A股超短交易参数与净盈亏比压力测试</x:v>
      </x:c>
      <x:c r="O1" s="53" t="str">
        <x:v>A股超短交易参数与净盈亏比压力测试</x:v>
      </x:c>
      <x:c r="P1" s="53" t="str">
        <x:v>A股超短交易参数与净盈亏比压力测试</x:v>
      </x:c>
      <x:c r="Q1" s="53" t="str">
        <x:v>A股超短交易参数与净盈亏比压力测试</x:v>
      </x:c>
      <x:c r="R1" s="53" t="str">
        <x:v>A股超短交易参数与净盈亏比压力测试</x:v>
      </x:c>
      <x:c r="S1" s="53" t="str">
        <x:v>A股超短交易参数与净盈亏比压力测试</x:v>
      </x:c>
      <x:c r="T1" s="53" t="str">
        <x:v>A股超短交易参数与净盈亏比压力测试</x:v>
      </x:c>
      <x:c r="U1" s="53" t="str">
        <x:v>A股超短交易参数与净盈亏比压力测试</x:v>
      </x:c>
      <x:c r="V1" s="53" t="str">
        <x:v>A股超短交易参数与净盈亏比压力测试</x:v>
      </x:c>
      <x:c r="W1" s="53" t="str">
        <x:v>A股超短交易参数与净盈亏比压力测试</x:v>
      </x:c>
    </x:row>
    <x:row r="2">
      <x:c r="A2" s="54" t="str">
        <x:v>蓝色字体为可编辑输入；黄色底色表示需用券商真实数据更新。当前行情与策略数据截止 2026-09-02 10:04:02（北京时间）。</x:v>
      </x:c>
      <x:c r="B2" s="54" t="str">
        <x:v>蓝色字体为可编辑输入；黄色底色表示需用券商真实数据更新。当前行情与策略数据截止 2026-09-02 10:04:02（北京时间）。</x:v>
      </x:c>
      <x:c r="C2" s="54" t="str">
        <x:v>蓝色字体为可编辑输入；黄色底色表示需用券商真实数据更新。当前行情与策略数据截止 2026-09-02 10:04:02（北京时间）。</x:v>
      </x:c>
      <x:c r="D2" s="54" t="str">
        <x:v>蓝色字体为可编辑输入；黄色底色表示需用券商真实数据更新。当前行情与策略数据截止 2026-09-02 10:04:02（北京时间）。</x:v>
      </x:c>
      <x:c r="E2" s="54" t="str">
        <x:v>蓝色字体为可编辑输入；黄色底色表示需用券商真实数据更新。当前行情与策略数据截止 2026-09-02 10:04:02（北京时间）。</x:v>
      </x:c>
      <x:c r="F2" s="54" t="str">
        <x:v>蓝色字体为可编辑输入；黄色底色表示需用券商真实数据更新。当前行情与策略数据截止 2026-09-02 10:04:02（北京时间）。</x:v>
      </x:c>
      <x:c r="G2" s="54" t="str">
        <x:v>蓝色字体为可编辑输入；黄色底色表示需用券商真实数据更新。当前行情与策略数据截止 2026-09-02 10:04:02（北京时间）。</x:v>
      </x:c>
      <x:c r="H2" s="54" t="str">
        <x:v>蓝色字体为可编辑输入；黄色底色表示需用券商真实数据更新。当前行情与策略数据截止 2026-09-02 10:04:02（北京时间）。</x:v>
      </x:c>
      <x:c r="I2" s="54" t="str">
        <x:v>蓝色字体为可编辑输入；黄色底色表示需用券商真实数据更新。当前行情与策略数据截止 2026-09-02 10:04:02（北京时间）。</x:v>
      </x:c>
      <x:c r="J2" s="54" t="str">
        <x:v>蓝色字体为可编辑输入；黄色底色表示需用券商真实数据更新。当前行情与策略数据截止 2026-09-02 10:04:02（北京时间）。</x:v>
      </x:c>
      <x:c r="K2" s="54" t="str">
        <x:v>蓝色字体为可编辑输入；黄色底色表示需用券商真实数据更新。当前行情与策略数据截止 2026-09-02 10:04:02（北京时间）。</x:v>
      </x:c>
      <x:c r="L2" s="54" t="str">
        <x:v>蓝色字体为可编辑输入；黄色底色表示需用券商真实数据更新。当前行情与策略数据截止 2026-09-02 10:04:02（北京时间）。</x:v>
      </x:c>
      <x:c r="M2" s="54" t="str">
        <x:v>蓝色字体为可编辑输入；黄色底色表示需用券商真实数据更新。当前行情与策略数据截止 2026-09-02 10:04:02（北京时间）。</x:v>
      </x:c>
      <x:c r="N2" s="54" t="str">
        <x:v>蓝色字体为可编辑输入；黄色底色表示需用券商真实数据更新。当前行情与策略数据截止 2026-09-02 10:04:02（北京时间）。</x:v>
      </x:c>
      <x:c r="O2" s="54" t="str">
        <x:v>蓝色字体为可编辑输入；黄色底色表示需用券商真实数据更新。当前行情与策略数据截止 2026-09-02 10:04:02（北京时间）。</x:v>
      </x:c>
      <x:c r="P2" s="54" t="str">
        <x:v>蓝色字体为可编辑输入；黄色底色表示需用券商真实数据更新。当前行情与策略数据截止 2026-09-02 10:04:02（北京时间）。</x:v>
      </x:c>
      <x:c r="Q2" s="54" t="str">
        <x:v>蓝色字体为可编辑输入；黄色底色表示需用券商真实数据更新。当前行情与策略数据截止 2026-09-02 10:04:02（北京时间）。</x:v>
      </x:c>
      <x:c r="R2" s="54" t="str">
        <x:v>蓝色字体为可编辑输入；黄色底色表示需用券商真实数据更新。当前行情与策略数据截止 2026-09-02 10:04:02（北京时间）。</x:v>
      </x:c>
      <x:c r="S2" s="54" t="str">
        <x:v>蓝色字体为可编辑输入；黄色底色表示需用券商真实数据更新。当前行情与策略数据截止 2026-09-02 10:04:02（北京时间）。</x:v>
      </x:c>
      <x:c r="T2" s="54" t="str">
        <x:v>蓝色字体为可编辑输入；黄色底色表示需用券商真实数据更新。当前行情与策略数据截止 2026-09-02 10:04:02（北京时间）。</x:v>
      </x:c>
      <x:c r="U2" s="54" t="str">
        <x:v>蓝色字体为可编辑输入；黄色底色表示需用券商真实数据更新。当前行情与策略数据截止 2026-09-02 10:04:02（北京时间）。</x:v>
      </x:c>
      <x:c r="V2" s="54" t="str">
        <x:v>蓝色字体为可编辑输入；黄色底色表示需用券商真实数据更新。当前行情与策略数据截止 2026-09-02 10:04:02（北京时间）。</x:v>
      </x:c>
      <x:c r="W2" s="54" t="str">
        <x:v>蓝色字体为可编辑输入；黄色底色表示需用券商真实数据更新。当前行情与策略数据截止 2026-09-02 10:04:02（北京时间）。</x:v>
      </x:c>
    </x:row>
    <x:row r="3">
      <x:c r="A3" s="55"/>
      <x:c r="B3" s="55"/>
      <x:c r="C3" s="55"/>
      <x:c r="D3" s="55"/>
      <x:c r="E3" s="55"/>
      <x:c r="F3" s="55"/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</x:row>
    <x:row r="4" ht="24" customHeight="1">
      <x:c r="A4" s="56" t="str">
        <x:v>账户与交易假设</x:v>
      </x:c>
      <x:c r="B4" s="56" t="str">
        <x:v>账户与交易假设</x:v>
      </x:c>
      <x:c r="C4" s="55"/>
      <x:c r="D4" s="56" t="str">
        <x:v>逐笔净盈亏比计算（按当前压力假设）</x:v>
      </x:c>
      <x:c r="E4" s="56" t="str">
        <x:v>逐笔净盈亏比计算（按当前压力假设）</x:v>
      </x:c>
      <x:c r="F4" s="56" t="str">
        <x:v>逐笔净盈亏比计算（按当前压力假设）</x:v>
      </x:c>
      <x:c r="G4" s="56" t="str">
        <x:v>逐笔净盈亏比计算（按当前压力假设）</x:v>
      </x:c>
      <x:c r="H4" s="56" t="str">
        <x:v>逐笔净盈亏比计算（按当前压力假设）</x:v>
      </x:c>
      <x:c r="I4" s="56" t="str">
        <x:v>逐笔净盈亏比计算（按当前压力假设）</x:v>
      </x:c>
      <x:c r="J4" s="56" t="str">
        <x:v>逐笔净盈亏比计算（按当前压力假设）</x:v>
      </x:c>
      <x:c r="K4" s="56" t="str">
        <x:v>逐笔净盈亏比计算（按当前压力假设）</x:v>
      </x:c>
      <x:c r="L4" s="56" t="str">
        <x:v>逐笔净盈亏比计算（按当前压力假设）</x:v>
      </x:c>
      <x:c r="M4" s="56" t="str">
        <x:v>逐笔净盈亏比计算（按当前压力假设）</x:v>
      </x:c>
      <x:c r="N4" s="56" t="str">
        <x:v>逐笔净盈亏比计算（按当前压力假设）</x:v>
      </x:c>
      <x:c r="O4" s="56" t="str">
        <x:v>逐笔净盈亏比计算（按当前压力假设）</x:v>
      </x:c>
      <x:c r="P4" s="56" t="str">
        <x:v>逐笔净盈亏比计算（按当前压力假设）</x:v>
      </x:c>
      <x:c r="Q4" s="56" t="str">
        <x:v>逐笔净盈亏比计算（按当前压力假设）</x:v>
      </x:c>
      <x:c r="R4" s="56" t="str">
        <x:v>逐笔净盈亏比计算（按当前压力假设）</x:v>
      </x:c>
      <x:c r="S4" s="56" t="str">
        <x:v>逐笔净盈亏比计算（按当前压力假设）</x:v>
      </x:c>
      <x:c r="T4" s="56" t="str">
        <x:v>逐笔净盈亏比计算（按当前压力假设）</x:v>
      </x:c>
      <x:c r="U4" s="56" t="str">
        <x:v>逐笔净盈亏比计算（按当前压力假设）</x:v>
      </x:c>
      <x:c r="V4" s="56" t="str">
        <x:v>逐笔净盈亏比计算（按当前压力假设）</x:v>
      </x:c>
      <x:c r="W4" s="56" t="str">
        <x:v>逐笔净盈亏比计算（按当前压力假设）</x:v>
      </x:c>
    </x:row>
    <x:row r="5">
      <x:c r="A5" s="57" t="str">
        <x:v>账户净值</x:v>
      </x:c>
      <x:c r="B5" s="58" t="n">
        <x:v>30000</x:v>
      </x:c>
      <x:c r="C5" s="55"/>
      <x:c r="D5" s="59" t="str">
        <x:v>证券</x:v>
      </x:c>
      <x:c r="E5" s="59" t="str">
        <x:v>股数</x:v>
      </x:c>
      <x:c r="F5" s="59" t="str">
        <x:v>成交均价（推定）</x:v>
      </x:c>
      <x:c r="G5" s="59" t="str">
        <x:v>结构失效价</x:v>
      </x:c>
      <x:c r="H5" s="59" t="str">
        <x:v>第一压力</x:v>
      </x:c>
      <x:c r="I5" s="59" t="str">
        <x:v>买入滑点价</x:v>
      </x:c>
      <x:c r="J5" s="59" t="str">
        <x:v>买入金额</x:v>
      </x:c>
      <x:c r="K5" s="59" t="str">
        <x:v>买入佣金</x:v>
      </x:c>
      <x:c r="L5" s="59" t="str">
        <x:v>买入附加费</x:v>
      </x:c>
      <x:c r="M5" s="59" t="str">
        <x:v>买入现金流出</x:v>
      </x:c>
      <x:c r="N5" s="59" t="str">
        <x:v>止损滑点价</x:v>
      </x:c>
      <x:c r="O5" s="59" t="str">
        <x:v>止损金额</x:v>
      </x:c>
      <x:c r="P5" s="59" t="str">
        <x:v>止损卖出成本</x:v>
      </x:c>
      <x:c r="Q5" s="59" t="str">
        <x:v>净风险</x:v>
      </x:c>
      <x:c r="R5" s="59" t="str">
        <x:v>目标滑点价</x:v>
      </x:c>
      <x:c r="S5" s="59" t="str">
        <x:v>目标金额</x:v>
      </x:c>
      <x:c r="T5" s="59" t="str">
        <x:v>目标卖出成本</x:v>
      </x:c>
      <x:c r="U5" s="59" t="str">
        <x:v>净收益</x:v>
      </x:c>
      <x:c r="V5" s="59" t="str">
        <x:v>净R</x:v>
      </x:c>
      <x:c r="W5" s="59" t="str">
        <x:v>盈亏平衡胜率</x:v>
      </x:c>
    </x:row>
    <x:row r="6">
      <x:c r="A6" s="60" t="str">
        <x:v>佣金率（压力假设）</x:v>
      </x:c>
      <x:c r="B6" s="61" t="n">
        <x:v>0.0003</x:v>
      </x:c>
      <x:c r="C6" s="55"/>
      <x:c r="D6" s="62" t="str">
        <x:v>黄河旋风</x:v>
      </x:c>
      <x:c r="E6" s="63" t="n">
        <x:v>600</x:v>
      </x:c>
      <x:c r="F6" s="64" t="n">
        <x:v>14.56</x:v>
      </x:c>
      <x:c r="G6" s="64" t="n">
        <x:v>14.16</x:v>
      </x:c>
      <x:c r="H6" s="64" t="n">
        <x:v>15.5</x:v>
      </x:c>
      <x:c r="I6" s="65" t="n">
        <x:f>F6*(1+$B$11)</x:f>
        <x:v>14.56728</x:v>
      </x:c>
      <x:c r="J6" s="66" t="n">
        <x:f>I6*E6</x:f>
        <x:v>8740.368</x:v>
      </x:c>
      <x:c r="K6" s="66" t="n">
        <x:f>MAX($B$7,J6*$B$6)</x:f>
        <x:v>5</x:v>
      </x:c>
      <x:c r="L6" s="66" t="n">
        <x:f>J6*$B$9</x:f>
        <x:v>0</x:v>
      </x:c>
      <x:c r="M6" s="66" t="n">
        <x:f>J6+K6+L6</x:f>
        <x:v>8745.368</x:v>
      </x:c>
      <x:c r="N6" s="65" t="n">
        <x:f>G6*(1-$B$11)</x:f>
        <x:v>14.152920000000002</x:v>
      </x:c>
      <x:c r="O6" s="66" t="n">
        <x:f>N6*E6</x:f>
        <x:v>8491.752</x:v>
      </x:c>
      <x:c r="P6" s="66" t="n">
        <x:f>MAX($B$7,O6*$B$6)+O6*$B$9+O6*$B$10</x:f>
        <x:v>9.245875999999999</x:v>
      </x:c>
      <x:c r="Q6" s="66" t="n">
        <x:f>M6-(O6-P6)</x:f>
        <x:v>262.86187600000085</x:v>
      </x:c>
      <x:c r="R6" s="66" t="n">
        <x:f>H6*(1-$B$11)</x:f>
        <x:v>15.49225</x:v>
      </x:c>
      <x:c r="S6" s="66" t="n">
        <x:f>R6*E6</x:f>
        <x:v>9295.35</x:v>
      </x:c>
      <x:c r="T6" s="66" t="n">
        <x:f>MAX($B$7,S6*$B$6)+S6*$B$9+S6*$B$10</x:f>
        <x:v>9.647675</x:v>
      </x:c>
      <x:c r="U6" s="67" t="n">
        <x:f>(S6-T6)-M6</x:f>
        <x:v>540.3343249999998</x:v>
      </x:c>
      <x:c r="V6" s="68" t="n">
        <x:f>IF(Q6&lt;=0,0,U6/Q6)</x:f>
        <x:v>2.0555827007793175</x:v>
      </x:c>
      <x:c r="W6" s="69" t="n">
        <x:f>IF(V6&lt;=0,1,1/(1+V6))</x:f>
        <x:v>0.32726981984318504</x:v>
      </x:c>
    </x:row>
    <x:row r="7">
      <x:c r="A7" s="60" t="str">
        <x:v>单边最低佣金</x:v>
      </x:c>
      <x:c r="B7" s="70" t="n">
        <x:v>5</x:v>
      </x:c>
      <x:c r="C7" s="55"/>
      <x:c r="D7" s="62" t="str">
        <x:v>福达合金</x:v>
      </x:c>
      <x:c r="E7" s="63" t="n">
        <x:v>200</x:v>
      </x:c>
      <x:c r="F7" s="64" t="n">
        <x:v>54.14</x:v>
      </x:c>
      <x:c r="G7" s="64" t="n">
        <x:v>53.78</x:v>
      </x:c>
      <x:c r="H7" s="64" t="n">
        <x:v>55.3</x:v>
      </x:c>
      <x:c r="I7" s="65" t="n">
        <x:f>F7*(1+$B$11)</x:f>
        <x:v>54.167069999999995</x:v>
      </x:c>
      <x:c r="J7" s="66" t="n">
        <x:f>I7*E7</x:f>
        <x:v>10833.413999999999</x:v>
      </x:c>
      <x:c r="K7" s="66" t="n">
        <x:f>MAX($B$7,J7*$B$6)</x:f>
        <x:v>5</x:v>
      </x:c>
      <x:c r="L7" s="66" t="n">
        <x:f>J7*$B$9</x:f>
        <x:v>0</x:v>
      </x:c>
      <x:c r="M7" s="66" t="n">
        <x:f>J7+K7+L7</x:f>
        <x:v>10838.413999999999</x:v>
      </x:c>
      <x:c r="N7" s="65" t="n">
        <x:f>G7*(1-$B$11)</x:f>
        <x:v>53.75311000000001</x:v>
      </x:c>
      <x:c r="O7" s="66" t="n">
        <x:f>N7*E7</x:f>
        <x:v>10750.622000000001</x:v>
      </x:c>
      <x:c r="P7" s="66" t="n">
        <x:f>MAX($B$7,O7*$B$6)+O7*$B$9+O7*$B$10</x:f>
        <x:v>10.375311</x:v>
      </x:c>
      <x:c r="Q7" s="66" t="n">
        <x:f>M7-(O7-P7)</x:f>
        <x:v>98.16731099999743</x:v>
      </x:c>
      <x:c r="R7" s="66" t="n">
        <x:f>H7*(1-$B$11)</x:f>
        <x:v>55.27235</x:v>
      </x:c>
      <x:c r="S7" s="66" t="n">
        <x:f>R7*E7</x:f>
        <x:v>11054.470000000001</x:v>
      </x:c>
      <x:c r="T7" s="66" t="n">
        <x:f>MAX($B$7,S7*$B$6)+S7*$B$9+S7*$B$10</x:f>
        <x:v>10.527235000000001</x:v>
      </x:c>
      <x:c r="U7" s="67" t="n">
        <x:f>(S7-T7)-M7</x:f>
        <x:v>205.52876500000275</x:v>
      </x:c>
      <x:c r="V7" s="68" t="n">
        <x:f>IF(Q7&lt;=0,0,U7/Q7)</x:f>
        <x:v>2.093657887807563</x:v>
      </x:c>
      <x:c r="W7" s="69" t="n">
        <x:f>IF(V7&lt;=0,1,1/(1+V7))</x:f>
        <x:v>0.32324194732103606</x:v>
      </x:c>
    </x:row>
    <x:row r="8">
      <x:c r="A8" s="60" t="str">
        <x:v>佣金口径</x:v>
      </x:c>
      <x:c r="B8" s="71" t="str">
        <x:v>all_in</x:v>
      </x:c>
      <x:c r="C8" s="55"/>
      <x:c r="D8" s="55"/>
      <x:c r="E8" s="55"/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</x:row>
    <x:row r="9" ht="28" customHeight="1">
      <x:c r="A9" s="60" t="str">
        <x:v>未包含附加费率/边</x:v>
      </x:c>
      <x:c r="B9" s="72" t="n">
        <x:v>0</x:v>
      </x:c>
      <x:c r="C9" s="55"/>
      <x:c r="D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E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F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G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H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I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J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K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L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M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N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O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P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Q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R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S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T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U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V9" s="73" t="str">
        <x:v>重要：成交均价14.56/54.14由券商成本价反推，仅用于压力测试；成本价可能已含买入费用。请用成交回报中的真实均价和实际佣金覆盖蓝色/黄色输入后再使用净R。</x:v>
      </x:c>
      <x:c r="W9" s="73" t="str">
        <x:v>重要：成交均价14.56/54.14由券商成本价反推，仅用于压力测试；成本价可能已含买入费用。请用成交回报中的真实均价和实际佣金覆盖蓝色/黄色输入后再使用净R。</x:v>
      </x:c>
    </x:row>
    <x:row r="10" ht="28" customHeight="1">
      <x:c r="A10" s="60" t="str">
        <x:v>卖出印花税率</x:v>
      </x:c>
      <x:c r="B10" s="72" t="n">
        <x:v>0.0005</x:v>
      </x:c>
      <x:c r="C10" s="55"/>
      <x:c r="D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E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F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G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H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I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J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K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L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M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N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O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P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Q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R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S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T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U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V10" s="73" t="str">
        <x:v>重要：成交均价14.56/54.14由券商成本价反推，仅用于压力测试；成本价可能已含买入费用。请用成交回报中的真实均价和实际佣金覆盖蓝色/黄色输入后再使用净R。</x:v>
      </x:c>
      <x:c r="W10" s="73" t="str">
        <x:v>重要：成交均价14.56/54.14由券商成本价反推，仅用于压力测试；成本价可能已含买入费用。请用成交回报中的真实均价和实际佣金覆盖蓝色/黄色输入后再使用净R。</x:v>
      </x:c>
    </x:row>
    <x:row r="11">
      <x:c r="A11" s="60" t="str">
        <x:v>压力滑点率/边</x:v>
      </x:c>
      <x:c r="B11" s="72" t="n">
        <x:v>0.0005</x:v>
      </x:c>
      <x:c r="C11" s="55"/>
      <x:c r="D11" s="55"/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</x:row>
    <x:row r="12">
      <x:c r="A12" s="60" t="str">
        <x:v>验证档单股跌停压力上限</x:v>
      </x:c>
      <x:c r="B12" s="72" t="n">
        <x:v>0.03</x:v>
      </x:c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</x:row>
    <x:row r="13">
      <x:c r="A13" s="60" t="str">
        <x:v>主板一档跌停压力</x:v>
      </x:c>
      <x:c r="B13" s="72" t="n">
        <x:v>0.1</x:v>
      </x:c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</x:row>
    <x:row r="14">
      <x:c r="A14" s="60" t="str">
        <x:v>验证档总仓上限</x:v>
      </x:c>
      <x:c r="B14" s="72" t="n">
        <x:v>0.6</x:v>
      </x:c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</x:row>
    <x:row r="15">
      <x:c r="A15" s="60" t="str">
        <x:v>主板单股仓位上限</x:v>
      </x:c>
      <x:c r="B15" s="72" t="n">
        <x:v>0.3</x:v>
      </x:c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</x:row>
    <x:row r="16">
      <x:c r="A16" s="60" t="str">
        <x:v>验证档单笔风险率</x:v>
      </x:c>
      <x:c r="B16" s="72" t="n">
        <x:v>0.0075</x:v>
      </x:c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</x:row>
    <x:row r="17">
      <x:c r="A17" s="60" t="str">
        <x:v>验证档组合风险率</x:v>
      </x:c>
      <x:c r="B17" s="72" t="n">
        <x:v>0.015</x:v>
      </x:c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</x:row>
    <x:row r="18">
      <x:c r="A18" s="74" t="str">
        <x:v>压力测试净R门槛</x:v>
      </x:c>
      <x:c r="B18" s="75" t="n">
        <x:v>2.5</x:v>
      </x:c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</x:row>
  </x:sheetData>
  <x:mergeCells>
    <x:mergeCell ref="A1:W1"/>
    <x:mergeCell ref="A2:W2"/>
    <x:mergeCell ref="A4:B4"/>
    <x:mergeCell ref="D4:W4"/>
    <x:mergeCell ref="D9:W10"/>
  </x:mergeCells>
  <x:conditionalFormatting sqref="U6:V7">
    <x:cfRule type="cellIs" dxfId="0" priority="1" operator="greaterThan">
      <x:formula>0</x:formula>
    </x:cfRule>
    <x:cfRule type="cellIs" dxfId="1" priority="2" operator="lessThan">
      <x:formula>0</x:formula>
    </x:cfRule>
  </x:conditionalFormatting>
  <x:pageMargins left="0.7" right="0.7" top="0.75" bottom="0.75" header="0.3" footer="0.3"/>
  <x:legacyDrawing xmlns:r="http://schemas.openxmlformats.org/officeDocument/2006/relationships" r:id="Rd4dcdd802da64aaa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1" hidden="0" customWidth="1"/>
    <x:col min="3" max="3" width="23" hidden="0" customWidth="1"/>
    <x:col min="4" max="4" width="27" hidden="0" customWidth="1"/>
    <x:col min="5" max="5" width="27" hidden="0" customWidth="1"/>
    <x:col min="6" max="6" width="18" hidden="0" customWidth="1"/>
    <x:col min="7" max="7" width="24" hidden="0" customWidth="1"/>
    <x:col min="8" max="8" width="24" hidden="0" customWidth="1"/>
  </x:cols>
  <x:sheetData>
    <x:row r="1" ht="32" customHeight="1">
      <x:c r="A1" s="53" t="str">
        <x:v>下一交易日四情景执行剧本</x:v>
      </x:c>
      <x:c r="B1" s="53" t="str">
        <x:v>下一交易日四情景执行剧本</x:v>
      </x:c>
      <x:c r="C1" s="53" t="str">
        <x:v>下一交易日四情景执行剧本</x:v>
      </x:c>
      <x:c r="D1" s="53" t="str">
        <x:v>下一交易日四情景执行剧本</x:v>
      </x:c>
      <x:c r="E1" s="53" t="str">
        <x:v>下一交易日四情景执行剧本</x:v>
      </x:c>
      <x:c r="F1" s="53" t="str">
        <x:v>下一交易日四情景执行剧本</x:v>
      </x:c>
      <x:c r="G1" s="53" t="str">
        <x:v>下一交易日四情景执行剧本</x:v>
      </x:c>
      <x:c r="H1" s="53" t="str">
        <x:v>下一交易日四情景执行剧本</x:v>
      </x:c>
    </x:row>
    <x:row r="2">
      <x:c r="A2" s="54" t="str">
        <x:v>以下数量仅在券商显示相应股票可卖数量足够时适用；若今日收盘结构发生明显变化，应重新运行 Skill。</x:v>
      </x:c>
      <x:c r="B2" s="54" t="str">
        <x:v>以下数量仅在券商显示相应股票可卖数量足够时适用；若今日收盘结构发生明显变化，应重新运行 Skill。</x:v>
      </x:c>
      <x:c r="C2" s="54" t="str">
        <x:v>以下数量仅在券商显示相应股票可卖数量足够时适用；若今日收盘结构发生明显变化，应重新运行 Skill。</x:v>
      </x:c>
      <x:c r="D2" s="54" t="str">
        <x:v>以下数量仅在券商显示相应股票可卖数量足够时适用；若今日收盘结构发生明显变化，应重新运行 Skill。</x:v>
      </x:c>
      <x:c r="E2" s="54" t="str">
        <x:v>以下数量仅在券商显示相应股票可卖数量足够时适用；若今日收盘结构发生明显变化，应重新运行 Skill。</x:v>
      </x:c>
      <x:c r="F2" s="54" t="str">
        <x:v>以下数量仅在券商显示相应股票可卖数量足够时适用；若今日收盘结构发生明显变化，应重新运行 Skill。</x:v>
      </x:c>
      <x:c r="G2" s="54" t="str">
        <x:v>以下数量仅在券商显示相应股票可卖数量足够时适用；若今日收盘结构发生明显变化，应重新运行 Skill。</x:v>
      </x:c>
      <x:c r="H2" s="54" t="str">
        <x:v>以下数量仅在券商显示相应股票可卖数量足够时适用；若今日收盘结构发生明显变化，应重新运行 Skill。</x:v>
      </x:c>
    </x:row>
    <x:row r="3">
      <x:c r="A3" s="55"/>
      <x:c r="B3" s="55"/>
      <x:c r="C3" s="55"/>
      <x:c r="D3" s="55"/>
      <x:c r="E3" s="55"/>
      <x:c r="F3" s="55"/>
      <x:c r="G3" s="55"/>
      <x:c r="H3" s="55"/>
    </x:row>
    <x:row r="4">
      <x:c r="A4" s="59" t="str">
        <x:v>证券</x:v>
      </x:c>
      <x:c r="B4" s="59" t="str">
        <x:v>情景</x:v>
      </x:c>
      <x:c r="C4" s="59" t="str">
        <x:v>价格条件</x:v>
      </x:c>
      <x:c r="D4" s="59" t="str">
        <x:v>板块/市场确认</x:v>
      </x:c>
      <x:c r="E4" s="59" t="str">
        <x:v>基准动作</x:v>
      </x:c>
      <x:c r="F4" s="59" t="str">
        <x:v>条件卖出数量</x:v>
      </x:c>
      <x:c r="G4" s="59" t="str">
        <x:v>禁止事项</x:v>
      </x:c>
      <x:c r="H4" s="59" t="str">
        <x:v>失效/未成交记录</x:v>
      </x:c>
    </x:row>
    <x:row r="5" ht="46" customHeight="1">
      <x:c r="A5" s="137" t="str">
        <x:v>黄河旋风</x:v>
      </x:c>
      <x:c r="B5" s="138" t="str">
        <x:v>高开</x:v>
      </x:c>
      <x:c r="C5" s="139" t="str">
        <x:v>开盘或冲高≥15.50</x:v>
      </x:c>
      <x:c r="D5" s="139" t="str">
        <x:v>板块扩散且能维持15.50</x:v>
      </x:c>
      <x:c r="E5" s="139" t="str">
        <x:v>先保护利润；不抬高第一目标</x:v>
      </x:c>
      <x:c r="F5" s="139" t="str">
        <x:v>至少100股</x:v>
      </x:c>
      <x:c r="G5" s="139" t="str">
        <x:v>不因高开追买</x:v>
      </x:c>
      <x:c r="H5" s="139" t="str">
        <x:v>跌回15.50下方记录冲高失败</x:v>
      </x:c>
    </x:row>
    <x:row r="6" ht="46" customHeight="1">
      <x:c r="A6" s="137" t="str">
        <x:v>黄河旋风</x:v>
      </x:c>
      <x:c r="B6" s="138" t="str">
        <x:v>平开</x:v>
      </x:c>
      <x:c r="C6" s="139" t="str">
        <x:v>14.64–15.50</x:v>
      </x:c>
      <x:c r="D6" s="139" t="str">
        <x:v>相对强度仍在</x:v>
      </x:c>
      <x:c r="E6" s="139" t="str">
        <x:v>守住14.64可保留；仓位降至≤500股更符合验证档风险</x:v>
      </x:c>
      <x:c r="F6" s="139" t="str">
        <x:v>视可卖数量至少100股</x:v>
      </x:c>
      <x:c r="G6" s="139" t="str">
        <x:v>不扩大止损</x:v>
      </x:c>
      <x:c r="H6" s="139" t="str">
        <x:v>失守14.64且不能收回=转弱</x:v>
      </x:c>
    </x:row>
    <x:row r="7" ht="46" customHeight="1">
      <x:c r="A7" s="137" t="str">
        <x:v>黄河旋风</x:v>
      </x:c>
      <x:c r="B7" s="138" t="str">
        <x:v>低开</x:v>
      </x:c>
      <x:c r="C7" s="139" t="str">
        <x:v>14.16–14.64</x:v>
      </x:c>
      <x:c r="D7" s="139" t="str">
        <x:v>板块不共振走弱</x:v>
      </x:c>
      <x:c r="E7" s="139" t="str">
        <x:v>禁止补仓；不能收回14.64则继续降风险</x:v>
      </x:c>
      <x:c r="F7" s="139" t="str">
        <x:v>按可卖数量减仓</x:v>
      </x:c>
      <x:c r="G7" s="139" t="str">
        <x:v>不等待固定3分钟</x:v>
      </x:c>
      <x:c r="H7" s="139" t="str">
        <x:v>跌破14.16记录结构失效</x:v>
      </x:c>
    </x:row>
    <x:row r="8" ht="46" customHeight="1">
      <x:c r="A8" s="137" t="str">
        <x:v>黄河旋风</x:v>
      </x:c>
      <x:c r="B8" s="138" t="str">
        <x:v>极端低开</x:v>
      </x:c>
      <x:c r="C8" s="139" t="str">
        <x:v>≤14.16或无正常流动性</x:v>
      </x:c>
      <x:c r="D8" s="139" t="str">
        <x:v>结构已失效</x:v>
      </x:c>
      <x:c r="E8" s="139" t="str">
        <x:v>首个可成交时点退出可卖数量</x:v>
      </x:c>
      <x:c r="F8" s="139" t="str">
        <x:v>全部可卖数量</x:v>
      </x:c>
      <x:c r="G8" s="139" t="str">
        <x:v>不假定止损成功</x:v>
      </x:c>
      <x:c r="H8" s="139" t="str">
        <x:v>无法成交=EXIT_TRIGGERED_UNFILLED</x:v>
      </x:c>
    </x:row>
    <x:row r="9" ht="46" customHeight="1">
      <x:c r="A9" s="140" t="str">
        <x:v>福达合金</x:v>
      </x:c>
      <x:c r="B9" s="138" t="str">
        <x:v>高开</x:v>
      </x:c>
      <x:c r="C9" s="139" t="str">
        <x:v>反弹至≥55.30</x:v>
      </x:c>
      <x:c r="D9" s="139" t="str">
        <x:v>必须证明能站稳第一压力</x:v>
      </x:c>
      <x:c r="E9" s="139" t="str">
        <x:v>优先利用反弹降低超限仓位</x:v>
      </x:c>
      <x:c r="F9" s="139" t="str">
        <x:v>至少100股</x:v>
      </x:c>
      <x:c r="G9" s="139" t="str">
        <x:v>不把高开当主线确认</x:v>
      </x:c>
      <x:c r="H9" s="139" t="str">
        <x:v>不能站稳55.30=修复失败</x:v>
      </x:c>
    </x:row>
    <x:row r="10" ht="46" customHeight="1">
      <x:c r="A10" s="140" t="str">
        <x:v>福达合金</x:v>
      </x:c>
      <x:c r="B10" s="138" t="str">
        <x:v>平开</x:v>
      </x:c>
      <x:c r="C10" s="139" t="str">
        <x:v>53.78–55.30</x:v>
      </x:c>
      <x:c r="D10" s="139" t="str">
        <x:v>仍弱于板块前排</x:v>
      </x:c>
      <x:c r="E10" s="139" t="str">
        <x:v>先将200股降至100股；不能收复55.30再处理剩余</x:v>
      </x:c>
      <x:c r="F10" s="139" t="str">
        <x:v>至少100股</x:v>
      </x:c>
      <x:c r="G10" s="139" t="str">
        <x:v>禁止亏损加仓</x:v>
      </x:c>
      <x:c r="H10" s="139" t="str">
        <x:v>持续弱于板块=核心地位未确认</x:v>
      </x:c>
    </x:row>
    <x:row r="11" ht="46" customHeight="1">
      <x:c r="A11" s="140" t="str">
        <x:v>福达合金</x:v>
      </x:c>
      <x:c r="B11" s="138" t="str">
        <x:v>低开</x:v>
      </x:c>
      <x:c r="C11" s="139" t="str">
        <x:v>略高于53.78</x:v>
      </x:c>
      <x:c r="D11" s="139" t="str">
        <x:v>无承接或板块继续下跌</x:v>
      </x:c>
      <x:c r="E11" s="139" t="str">
        <x:v>不抄底；触发失效即处理可卖数量</x:v>
      </x:c>
      <x:c r="F11" s="139" t="str">
        <x:v>按可卖数量</x:v>
      </x:c>
      <x:c r="G11" s="139" t="str">
        <x:v>不摊低成本</x:v>
      </x:c>
      <x:c r="H11" s="139" t="str">
        <x:v>跌破53.78记录结构失效</x:v>
      </x:c>
    </x:row>
    <x:row r="12" ht="46" customHeight="1">
      <x:c r="A12" s="140" t="str">
        <x:v>福达合金</x:v>
      </x:c>
      <x:c r="B12" s="138" t="str">
        <x:v>极端低开</x:v>
      </x:c>
      <x:c r="C12" s="139" t="str">
        <x:v>≤53.78或跌停/无对手盘</x:v>
      </x:c>
      <x:c r="D12" s="139" t="str">
        <x:v>结构已失效</x:v>
      </x:c>
      <x:c r="E12" s="139" t="str">
        <x:v>首个可成交时点退出可卖数量</x:v>
      </x:c>
      <x:c r="F12" s="139" t="str">
        <x:v>全部可卖数量</x:v>
      </x:c>
      <x:c r="G12" s="139" t="str">
        <x:v>不写成已止损</x:v>
      </x:c>
      <x:c r="H12" s="139" t="str">
        <x:v>无法成交=EXIT_TRIGGERED_UNFILLED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12" hidden="0" customWidth="1"/>
    <x:col min="4" max="4" width="17" hidden="0" customWidth="1"/>
    <x:col min="5" max="5" width="12" hidden="0" customWidth="1"/>
    <x:col min="6" max="6" width="12" hidden="0" customWidth="1"/>
    <x:col min="7" max="7" width="20" hidden="0" customWidth="1"/>
    <x:col min="8" max="8" width="20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30" hidden="0" customWidth="1"/>
  </x:cols>
  <x:sheetData>
    <x:row r="1" ht="32" customHeight="1">
      <x:c r="A1" s="156" t="str">
        <x:v>一笔交易一行｜个人超短交易日志</x:v>
      </x:c>
      <x:c r="B1" s="156" t="str">
        <x:v>一笔交易一行｜个人超短交易日志</x:v>
      </x:c>
      <x:c r="C1" s="156" t="str">
        <x:v>一笔交易一行｜个人超短交易日志</x:v>
      </x:c>
      <x:c r="D1" s="156" t="str">
        <x:v>一笔交易一行｜个人超短交易日志</x:v>
      </x:c>
      <x:c r="E1" s="156" t="str">
        <x:v>一笔交易一行｜个人超短交易日志</x:v>
      </x:c>
      <x:c r="F1" s="156" t="str">
        <x:v>一笔交易一行｜个人超短交易日志</x:v>
      </x:c>
      <x:c r="G1" s="156" t="str">
        <x:v>一笔交易一行｜个人超短交易日志</x:v>
      </x:c>
      <x:c r="H1" s="156" t="str">
        <x:v>一笔交易一行｜个人超短交易日志</x:v>
      </x:c>
      <x:c r="I1" s="156" t="str">
        <x:v>一笔交易一行｜个人超短交易日志</x:v>
      </x:c>
      <x:c r="J1" s="156" t="str">
        <x:v>一笔交易一行｜个人超短交易日志</x:v>
      </x:c>
      <x:c r="K1" s="156" t="str">
        <x:v>一笔交易一行｜个人超短交易日志</x:v>
      </x:c>
      <x:c r="L1" s="156" t="str">
        <x:v>一笔交易一行｜个人超短交易日志</x:v>
      </x:c>
      <x:c r="M1" s="156" t="str">
        <x:v>一笔交易一行｜个人超短交易日志</x:v>
      </x:c>
      <x:c r="N1" s="156" t="str">
        <x:v>一笔交易一行｜个人超短交易日志</x:v>
      </x:c>
      <x:c r="O1" s="156" t="str">
        <x:v>一笔交易一行｜个人超短交易日志</x:v>
      </x:c>
      <x:c r="P1" s="156" t="str">
        <x:v>一笔交易一行｜个人超短交易日志</x:v>
      </x:c>
      <x:c r="Q1" s="156" t="str">
        <x:v>一笔交易一行｜个人超短交易日志</x:v>
      </x:c>
      <x:c r="R1" s="156" t="str">
        <x:v>一笔交易一行｜个人超短交易日志</x:v>
      </x:c>
      <x:c r="S1" s="156" t="str">
        <x:v>一笔交易一行｜个人超短交易日志</x:v>
      </x:c>
      <x:c r="T1" s="156" t="str">
        <x:v>一笔交易一行｜个人超短交易日志</x:v>
      </x:c>
      <x:c r="U1" s="156" t="str">
        <x:v>一笔交易一行｜个人超短交易日志</x:v>
      </x:c>
      <x:c r="V1" s="156" t="str">
        <x:v>一笔交易一行｜个人超短交易日志</x:v>
      </x:c>
      <x:c r="W1" s="156" t="str">
        <x:v>一笔交易一行｜个人超短交易日志</x:v>
      </x:c>
      <x:c r="X1" s="156" t="str">
        <x:v>一笔交易一行｜个人超短交易日志</x:v>
      </x:c>
    </x:row>
    <x:row r="2">
      <x:c r="A2" s="157" t="str">
        <x:v>低位首板与主线核心回踩必须分开统计；红涨/盈，绿跌/亏。退出、费用、净R、MAE、MFE和纪律偏差在交易完成后回填。</x:v>
      </x:c>
      <x:c r="B2" s="157" t="str">
        <x:v>低位首板与主线核心回踩必须分开统计；红涨/盈，绿跌/亏。退出、费用、净R、MAE、MFE和纪律偏差在交易完成后回填。</x:v>
      </x:c>
      <x:c r="C2" s="157" t="str">
        <x:v>低位首板与主线核心回踩必须分开统计；红涨/盈，绿跌/亏。退出、费用、净R、MAE、MFE和纪律偏差在交易完成后回填。</x:v>
      </x:c>
      <x:c r="D2" s="157" t="str">
        <x:v>低位首板与主线核心回踩必须分开统计；红涨/盈，绿跌/亏。退出、费用、净R、MAE、MFE和纪律偏差在交易完成后回填。</x:v>
      </x:c>
      <x:c r="E2" s="157" t="str">
        <x:v>低位首板与主线核心回踩必须分开统计；红涨/盈，绿跌/亏。退出、费用、净R、MAE、MFE和纪律偏差在交易完成后回填。</x:v>
      </x:c>
      <x:c r="F2" s="157" t="str">
        <x:v>低位首板与主线核心回踩必须分开统计；红涨/盈，绿跌/亏。退出、费用、净R、MAE、MFE和纪律偏差在交易完成后回填。</x:v>
      </x:c>
      <x:c r="G2" s="157" t="str">
        <x:v>低位首板与主线核心回踩必须分开统计；红涨/盈，绿跌/亏。退出、费用、净R、MAE、MFE和纪律偏差在交易完成后回填。</x:v>
      </x:c>
      <x:c r="H2" s="157" t="str">
        <x:v>低位首板与主线核心回踩必须分开统计；红涨/盈，绿跌/亏。退出、费用、净R、MAE、MFE和纪律偏差在交易完成后回填。</x:v>
      </x:c>
      <x:c r="I2" s="157" t="str">
        <x:v>低位首板与主线核心回踩必须分开统计；红涨/盈，绿跌/亏。退出、费用、净R、MAE、MFE和纪律偏差在交易完成后回填。</x:v>
      </x:c>
      <x:c r="J2" s="157" t="str">
        <x:v>低位首板与主线核心回踩必须分开统计；红涨/盈，绿跌/亏。退出、费用、净R、MAE、MFE和纪律偏差在交易完成后回填。</x:v>
      </x:c>
      <x:c r="K2" s="157" t="str">
        <x:v>低位首板与主线核心回踩必须分开统计；红涨/盈，绿跌/亏。退出、费用、净R、MAE、MFE和纪律偏差在交易完成后回填。</x:v>
      </x:c>
      <x:c r="L2" s="157" t="str">
        <x:v>低位首板与主线核心回踩必须分开统计；红涨/盈，绿跌/亏。退出、费用、净R、MAE、MFE和纪律偏差在交易完成后回填。</x:v>
      </x:c>
      <x:c r="M2" s="157" t="str">
        <x:v>低位首板与主线核心回踩必须分开统计；红涨/盈，绿跌/亏。退出、费用、净R、MAE、MFE和纪律偏差在交易完成后回填。</x:v>
      </x:c>
      <x:c r="N2" s="157" t="str">
        <x:v>低位首板与主线核心回踩必须分开统计；红涨/盈，绿跌/亏。退出、费用、净R、MAE、MFE和纪律偏差在交易完成后回填。</x:v>
      </x:c>
      <x:c r="O2" s="157" t="str">
        <x:v>低位首板与主线核心回踩必须分开统计；红涨/盈，绿跌/亏。退出、费用、净R、MAE、MFE和纪律偏差在交易完成后回填。</x:v>
      </x:c>
      <x:c r="P2" s="157" t="str">
        <x:v>低位首板与主线核心回踩必须分开统计；红涨/盈，绿跌/亏。退出、费用、净R、MAE、MFE和纪律偏差在交易完成后回填。</x:v>
      </x:c>
      <x:c r="Q2" s="157" t="str">
        <x:v>低位首板与主线核心回踩必须分开统计；红涨/盈，绿跌/亏。退出、费用、净R、MAE、MFE和纪律偏差在交易完成后回填。</x:v>
      </x:c>
      <x:c r="R2" s="157" t="str">
        <x:v>低位首板与主线核心回踩必须分开统计；红涨/盈，绿跌/亏。退出、费用、净R、MAE、MFE和纪律偏差在交易完成后回填。</x:v>
      </x:c>
      <x:c r="S2" s="157" t="str">
        <x:v>低位首板与主线核心回踩必须分开统计；红涨/盈，绿跌/亏。退出、费用、净R、MAE、MFE和纪律偏差在交易完成后回填。</x:v>
      </x:c>
      <x:c r="T2" s="157" t="str">
        <x:v>低位首板与主线核心回踩必须分开统计；红涨/盈，绿跌/亏。退出、费用、净R、MAE、MFE和纪律偏差在交易完成后回填。</x:v>
      </x:c>
      <x:c r="U2" s="157" t="str">
        <x:v>低位首板与主线核心回踩必须分开统计；红涨/盈，绿跌/亏。退出、费用、净R、MAE、MFE和纪律偏差在交易完成后回填。</x:v>
      </x:c>
      <x:c r="V2" s="157" t="str">
        <x:v>低位首板与主线核心回踩必须分开统计；红涨/盈，绿跌/亏。退出、费用、净R、MAE、MFE和纪律偏差在交易完成后回填。</x:v>
      </x:c>
      <x:c r="W2" s="157" t="str">
        <x:v>低位首板与主线核心回踩必须分开统计；红涨/盈，绿跌/亏。退出、费用、净R、MAE、MFE和纪律偏差在交易完成后回填。</x:v>
      </x:c>
      <x:c r="X2" s="157" t="str">
        <x:v>低位首板与主线核心回踩必须分开统计；红涨/盈，绿跌/亏。退出、费用、净R、MAE、MFE和纪律偏差在交易完成后回填。</x:v>
      </x:c>
    </x:row>
    <x:row r="3">
      <x:c r="A3" s="158"/>
      <x:c r="B3" s="158"/>
      <x:c r="C3" s="158"/>
      <x:c r="D3" s="158"/>
      <x:c r="E3" s="158"/>
      <x:c r="F3" s="158"/>
      <x:c r="G3" s="158"/>
      <x:c r="H3" s="158"/>
      <x:c r="I3" s="158"/>
      <x:c r="J3" s="158"/>
      <x:c r="K3" s="158"/>
      <x:c r="L3" s="158"/>
      <x:c r="M3" s="158"/>
      <x:c r="N3" s="158"/>
      <x:c r="O3" s="158"/>
      <x:c r="P3" s="158"/>
      <x:c r="Q3" s="158"/>
      <x:c r="R3" s="158"/>
      <x:c r="S3" s="158"/>
      <x:c r="T3" s="158"/>
      <x:c r="U3" s="158"/>
      <x:c r="V3" s="158"/>
      <x:c r="W3" s="158"/>
      <x:c r="X3" s="158"/>
    </x:row>
    <x:row r="4">
      <x:c r="A4" s="159" t="str">
        <x:v>trade_id</x:v>
      </x:c>
      <x:c r="B4" s="159" t="str">
        <x:v>快照ID</x:v>
      </x:c>
      <x:c r="C4" s="159" t="str">
        <x:v>入场日期</x:v>
      </x:c>
      <x:c r="D4" s="159" t="str">
        <x:v>模式</x:v>
      </x:c>
      <x:c r="E4" s="159" t="str">
        <x:v>代码</x:v>
      </x:c>
      <x:c r="F4" s="159" t="str">
        <x:v>证券</x:v>
      </x:c>
      <x:c r="G4" s="159" t="str">
        <x:v>板块</x:v>
      </x:c>
      <x:c r="H4" s="159" t="str">
        <x:v>层级</x:v>
      </x:c>
      <x:c r="I4" s="159" t="str">
        <x:v>成交均价（推定）</x:v>
      </x:c>
      <x:c r="J4" s="159" t="str">
        <x:v>券商成本价</x:v>
      </x:c>
      <x:c r="K4" s="159" t="str">
        <x:v>结构失效价</x:v>
      </x:c>
      <x:c r="L4" s="159" t="str">
        <x:v>第一压力</x:v>
      </x:c>
      <x:c r="M4" s="159" t="str">
        <x:v>股数</x:v>
      </x:c>
      <x:c r="N4" s="159" t="str">
        <x:v>买入名义金额</x:v>
      </x:c>
      <x:c r="O4" s="159" t="str">
        <x:v>可卖股数</x:v>
      </x:c>
      <x:c r="P4" s="159" t="str">
        <x:v>锁定股数</x:v>
      </x:c>
      <x:c r="Q4" s="159" t="str">
        <x:v>退出日期</x:v>
      </x:c>
      <x:c r="R4" s="159" t="str">
        <x:v>退出均价</x:v>
      </x:c>
      <x:c r="S4" s="159" t="str">
        <x:v>毛盈亏</x:v>
      </x:c>
      <x:c r="T4" s="159" t="str">
        <x:v>净盈亏</x:v>
      </x:c>
      <x:c r="U4" s="159" t="str">
        <x:v>净R</x:v>
      </x:c>
      <x:c r="V4" s="159" t="str">
        <x:v>MAE</x:v>
      </x:c>
      <x:c r="W4" s="159" t="str">
        <x:v>MFE</x:v>
      </x:c>
      <x:c r="X4" s="159" t="str">
        <x:v>纪律/退出原因</x:v>
      </x:c>
    </x:row>
    <x:row r="5">
      <x:c r="A5" s="160" t="str">
        <x:v>T20260902-001</x:v>
      </x:c>
      <x:c r="B5" s="160" t="str">
        <x:v>ASU-20260902-100402-600172-603045</x:v>
      </x:c>
      <x:c r="C5" s="161" t="n">
        <x:v>46267</x:v>
      </x:c>
      <x:c r="D5" s="160" t="str">
        <x:v>待确认/模式外</x:v>
      </x:c>
      <x:c r="E5" s="160" t="str">
        <x:v>600172</x:v>
      </x:c>
      <x:c r="F5" s="160" t="str">
        <x:v>黄河旋风</x:v>
      </x:c>
      <x:c r="G5" s="160" t="str">
        <x:v>通用设备/超硬材料</x:v>
      </x:c>
      <x:c r="H5" s="160" t="str">
        <x:v>待确认</x:v>
      </x:c>
      <x:c r="I5" s="162" t="n">
        <x:v>14.56</x:v>
      </x:c>
      <x:c r="J5" s="162" t="n">
        <x:v>14.569</x:v>
      </x:c>
      <x:c r="K5" s="162" t="n">
        <x:v>14.16</x:v>
      </x:c>
      <x:c r="L5" s="162" t="n">
        <x:v>15.5</x:v>
      </x:c>
      <x:c r="M5" s="163" t="n">
        <x:v>600</x:v>
      </x:c>
      <x:c r="N5" s="164" t="n">
        <x:f>I5*M5</x:f>
        <x:v>8736</x:v>
      </x:c>
      <x:c r="O5" s="165" t="n">
        <x:f>0</x:f>
        <x:v>0</x:v>
      </x:c>
      <x:c r="P5" s="160" t="n">
        <x:f>M5-O5</x:f>
        <x:v>600</x:v>
      </x:c>
      <x:c r="Q5" s="166"/>
      <x:c r="R5" s="162"/>
      <x:c r="S5" s="167" t="str">
        <x:f>IF(R5="","",(R5-I5)*M5)</x:f>
      </x:c>
      <x:c r="T5" s="167"/>
      <x:c r="U5" s="168"/>
      <x:c r="V5" s="169"/>
      <x:c r="W5" s="169"/>
      <x:c r="X5" s="163" t="str">
        <x:f>IF(D5="待确认/模式外","待复盘：模式身份未确认","")</x:f>
        <x:v>待复盘：模式身份未确认</x:v>
      </x:c>
    </x:row>
    <x:row r="6">
      <x:c r="A6" s="160" t="str">
        <x:v>T20260902-002</x:v>
      </x:c>
      <x:c r="B6" s="160" t="str">
        <x:v>ASU-20260902-100402-600172-603045</x:v>
      </x:c>
      <x:c r="C6" s="161" t="n">
        <x:v>46267</x:v>
      </x:c>
      <x:c r="D6" s="160" t="str">
        <x:v>待确认/模式外</x:v>
      </x:c>
      <x:c r="E6" s="160" t="str">
        <x:v>603045</x:v>
      </x:c>
      <x:c r="F6" s="160" t="str">
        <x:v>福达合金</x:v>
      </x:c>
      <x:c r="G6" s="160" t="str">
        <x:v>金属新材料</x:v>
      </x:c>
      <x:c r="H6" s="160" t="str">
        <x:v>待确认</x:v>
      </x:c>
      <x:c r="I6" s="162" t="n">
        <x:v>54.14</x:v>
      </x:c>
      <x:c r="J6" s="162" t="n">
        <x:v>54.166</x:v>
      </x:c>
      <x:c r="K6" s="162" t="n">
        <x:v>53.78</x:v>
      </x:c>
      <x:c r="L6" s="162" t="n">
        <x:v>55.3</x:v>
      </x:c>
      <x:c r="M6" s="163" t="n">
        <x:v>200</x:v>
      </x:c>
      <x:c r="N6" s="164" t="n">
        <x:f>I6*M6</x:f>
        <x:v>10828</x:v>
      </x:c>
      <x:c r="O6" s="165" t="n">
        <x:f>0</x:f>
        <x:v>0</x:v>
      </x:c>
      <x:c r="P6" s="160" t="n">
        <x:f>M6-O6</x:f>
        <x:v>200</x:v>
      </x:c>
      <x:c r="Q6" s="166"/>
      <x:c r="R6" s="162"/>
      <x:c r="S6" s="167" t="str">
        <x:f>IF(R6="","",(R6-I6)*M6)</x:f>
      </x:c>
      <x:c r="T6" s="167"/>
      <x:c r="U6" s="168"/>
      <x:c r="V6" s="169"/>
      <x:c r="W6" s="169"/>
      <x:c r="X6" s="163" t="str">
        <x:f>IF(D6="待确认/模式外","待复盘：模式身份未确认","")</x:f>
        <x:v>待复盘：模式身份未确认</x:v>
      </x:c>
    </x:row>
    <x:row r="7">
      <x:c r="A7" s="158"/>
      <x:c r="B7" s="158"/>
      <x:c r="C7" s="158"/>
      <x:c r="D7" s="158"/>
      <x:c r="E7" s="158"/>
      <x:c r="F7" s="158"/>
      <x:c r="G7" s="158"/>
      <x:c r="H7" s="158"/>
      <x:c r="I7" s="170"/>
      <x:c r="J7" s="170"/>
      <x:c r="K7" s="170"/>
      <x:c r="L7" s="170"/>
      <x:c r="M7" s="170"/>
      <x:c r="N7" s="158"/>
      <x:c r="O7" s="171"/>
      <x:c r="P7" s="158"/>
      <x:c r="Q7" s="172"/>
      <x:c r="R7" s="173"/>
      <x:c r="S7" s="174"/>
      <x:c r="T7" s="174"/>
      <x:c r="U7" s="175"/>
      <x:c r="V7" s="176"/>
      <x:c r="W7" s="176"/>
      <x:c r="X7" s="170"/>
    </x:row>
    <x:row r="8">
      <x:c r="A8" s="158"/>
      <x:c r="B8" s="158"/>
      <x:c r="C8" s="158"/>
      <x:c r="D8" s="158"/>
      <x:c r="E8" s="158"/>
      <x:c r="F8" s="158"/>
      <x:c r="G8" s="158"/>
      <x:c r="H8" s="158"/>
      <x:c r="I8" s="170"/>
      <x:c r="J8" s="170"/>
      <x:c r="K8" s="170"/>
      <x:c r="L8" s="170"/>
      <x:c r="M8" s="170"/>
      <x:c r="N8" s="158"/>
      <x:c r="O8" s="171"/>
      <x:c r="P8" s="158"/>
      <x:c r="Q8" s="172"/>
      <x:c r="R8" s="173"/>
      <x:c r="S8" s="174"/>
      <x:c r="T8" s="174"/>
      <x:c r="U8" s="175"/>
      <x:c r="V8" s="176"/>
      <x:c r="W8" s="176"/>
      <x:c r="X8" s="170"/>
    </x:row>
    <x:row r="9">
      <x:c r="A9" s="158"/>
      <x:c r="B9" s="158"/>
      <x:c r="C9" s="158"/>
      <x:c r="D9" s="158"/>
      <x:c r="E9" s="158"/>
      <x:c r="F9" s="158"/>
      <x:c r="G9" s="158"/>
      <x:c r="H9" s="158"/>
      <x:c r="I9" s="170"/>
      <x:c r="J9" s="170"/>
      <x:c r="K9" s="170"/>
      <x:c r="L9" s="170"/>
      <x:c r="M9" s="170"/>
      <x:c r="N9" s="158"/>
      <x:c r="O9" s="171"/>
      <x:c r="P9" s="158"/>
      <x:c r="Q9" s="172"/>
      <x:c r="R9" s="173"/>
      <x:c r="S9" s="174"/>
      <x:c r="T9" s="174"/>
      <x:c r="U9" s="175"/>
      <x:c r="V9" s="176"/>
      <x:c r="W9" s="176"/>
      <x:c r="X9" s="170"/>
    </x:row>
    <x:row r="10">
      <x:c r="A10" s="158"/>
      <x:c r="B10" s="158"/>
      <x:c r="C10" s="158"/>
      <x:c r="D10" s="158"/>
      <x:c r="E10" s="158"/>
      <x:c r="F10" s="158"/>
      <x:c r="G10" s="158"/>
      <x:c r="H10" s="158"/>
      <x:c r="I10" s="170"/>
      <x:c r="J10" s="170"/>
      <x:c r="K10" s="170"/>
      <x:c r="L10" s="170"/>
      <x:c r="M10" s="170"/>
      <x:c r="N10" s="158"/>
      <x:c r="O10" s="171"/>
      <x:c r="P10" s="158"/>
      <x:c r="Q10" s="172"/>
      <x:c r="R10" s="173"/>
      <x:c r="S10" s="174"/>
      <x:c r="T10" s="174"/>
      <x:c r="U10" s="175"/>
      <x:c r="V10" s="176"/>
      <x:c r="W10" s="176"/>
      <x:c r="X10" s="170"/>
    </x:row>
    <x:row r="11">
      <x:c r="A11" s="158"/>
      <x:c r="B11" s="158"/>
      <x:c r="C11" s="158"/>
      <x:c r="D11" s="158"/>
      <x:c r="E11" s="158"/>
      <x:c r="F11" s="158"/>
      <x:c r="G11" s="158"/>
      <x:c r="H11" s="158"/>
      <x:c r="I11" s="170"/>
      <x:c r="J11" s="170"/>
      <x:c r="K11" s="170"/>
      <x:c r="L11" s="170"/>
      <x:c r="M11" s="170"/>
      <x:c r="N11" s="158"/>
      <x:c r="O11" s="171"/>
      <x:c r="P11" s="158"/>
      <x:c r="Q11" s="172"/>
      <x:c r="R11" s="173"/>
      <x:c r="S11" s="174"/>
      <x:c r="T11" s="174"/>
      <x:c r="U11" s="175"/>
      <x:c r="V11" s="176"/>
      <x:c r="W11" s="176"/>
      <x:c r="X11" s="170"/>
    </x:row>
    <x:row r="12">
      <x:c r="A12" s="158"/>
      <x:c r="B12" s="158"/>
      <x:c r="C12" s="158"/>
      <x:c r="D12" s="158"/>
      <x:c r="E12" s="158"/>
      <x:c r="F12" s="158"/>
      <x:c r="G12" s="158"/>
      <x:c r="H12" s="158"/>
      <x:c r="I12" s="170"/>
      <x:c r="J12" s="170"/>
      <x:c r="K12" s="170"/>
      <x:c r="L12" s="170"/>
      <x:c r="M12" s="170"/>
      <x:c r="N12" s="158"/>
      <x:c r="O12" s="171"/>
      <x:c r="P12" s="158"/>
      <x:c r="Q12" s="172"/>
      <x:c r="R12" s="173"/>
      <x:c r="S12" s="174"/>
      <x:c r="T12" s="174"/>
      <x:c r="U12" s="175"/>
      <x:c r="V12" s="176"/>
      <x:c r="W12" s="176"/>
      <x:c r="X12" s="170"/>
    </x:row>
    <x:row r="13">
      <x:c r="A13" s="158"/>
      <x:c r="B13" s="158"/>
      <x:c r="C13" s="158"/>
      <x:c r="D13" s="158"/>
      <x:c r="E13" s="158"/>
      <x:c r="F13" s="158"/>
      <x:c r="G13" s="158"/>
      <x:c r="H13" s="158"/>
      <x:c r="I13" s="170"/>
      <x:c r="J13" s="170"/>
      <x:c r="K13" s="170"/>
      <x:c r="L13" s="170"/>
      <x:c r="M13" s="170"/>
      <x:c r="N13" s="158"/>
      <x:c r="O13" s="171"/>
      <x:c r="P13" s="158"/>
      <x:c r="Q13" s="172"/>
      <x:c r="R13" s="173"/>
      <x:c r="S13" s="174"/>
      <x:c r="T13" s="174"/>
      <x:c r="U13" s="175"/>
      <x:c r="V13" s="176"/>
      <x:c r="W13" s="176"/>
      <x:c r="X13" s="170"/>
    </x:row>
    <x:row r="14">
      <x:c r="A14" s="158"/>
      <x:c r="B14" s="158"/>
      <x:c r="C14" s="158"/>
      <x:c r="D14" s="158"/>
      <x:c r="E14" s="158"/>
      <x:c r="F14" s="158"/>
      <x:c r="G14" s="158"/>
      <x:c r="H14" s="158"/>
      <x:c r="I14" s="170"/>
      <x:c r="J14" s="170"/>
      <x:c r="K14" s="170"/>
      <x:c r="L14" s="170"/>
      <x:c r="M14" s="170"/>
      <x:c r="N14" s="158"/>
      <x:c r="O14" s="171"/>
      <x:c r="P14" s="158"/>
      <x:c r="Q14" s="172"/>
      <x:c r="R14" s="173"/>
      <x:c r="S14" s="174"/>
      <x:c r="T14" s="174"/>
      <x:c r="U14" s="175"/>
      <x:c r="V14" s="176"/>
      <x:c r="W14" s="176"/>
      <x:c r="X14" s="170"/>
    </x:row>
    <x:row r="15">
      <x:c r="A15" s="158"/>
      <x:c r="B15" s="158"/>
      <x:c r="C15" s="158"/>
      <x:c r="D15" s="158"/>
      <x:c r="E15" s="158"/>
      <x:c r="F15" s="158"/>
      <x:c r="G15" s="158"/>
      <x:c r="H15" s="158"/>
      <x:c r="I15" s="170"/>
      <x:c r="J15" s="170"/>
      <x:c r="K15" s="170"/>
      <x:c r="L15" s="170"/>
      <x:c r="M15" s="170"/>
      <x:c r="N15" s="158"/>
      <x:c r="O15" s="171"/>
      <x:c r="P15" s="158"/>
      <x:c r="Q15" s="172"/>
      <x:c r="R15" s="173"/>
      <x:c r="S15" s="174"/>
      <x:c r="T15" s="174"/>
      <x:c r="U15" s="175"/>
      <x:c r="V15" s="176"/>
      <x:c r="W15" s="176"/>
      <x:c r="X15" s="170"/>
    </x:row>
    <x:row r="16">
      <x:c r="A16" s="158"/>
      <x:c r="B16" s="158"/>
      <x:c r="C16" s="158"/>
      <x:c r="D16" s="158"/>
      <x:c r="E16" s="158"/>
      <x:c r="F16" s="158"/>
      <x:c r="G16" s="158"/>
      <x:c r="H16" s="158"/>
      <x:c r="I16" s="170"/>
      <x:c r="J16" s="170"/>
      <x:c r="K16" s="170"/>
      <x:c r="L16" s="170"/>
      <x:c r="M16" s="170"/>
      <x:c r="N16" s="158"/>
      <x:c r="O16" s="171"/>
      <x:c r="P16" s="158"/>
      <x:c r="Q16" s="172"/>
      <x:c r="R16" s="173"/>
      <x:c r="S16" s="174"/>
      <x:c r="T16" s="174"/>
      <x:c r="U16" s="175"/>
      <x:c r="V16" s="176"/>
      <x:c r="W16" s="176"/>
      <x:c r="X16" s="170"/>
    </x:row>
    <x:row r="17">
      <x:c r="A17" s="158"/>
      <x:c r="B17" s="158"/>
      <x:c r="C17" s="158"/>
      <x:c r="D17" s="158"/>
      <x:c r="E17" s="158"/>
      <x:c r="F17" s="158"/>
      <x:c r="G17" s="158"/>
      <x:c r="H17" s="158"/>
      <x:c r="I17" s="170"/>
      <x:c r="J17" s="170"/>
      <x:c r="K17" s="170"/>
      <x:c r="L17" s="170"/>
      <x:c r="M17" s="170"/>
      <x:c r="N17" s="158"/>
      <x:c r="O17" s="171"/>
      <x:c r="P17" s="158"/>
      <x:c r="Q17" s="172"/>
      <x:c r="R17" s="173"/>
      <x:c r="S17" s="174"/>
      <x:c r="T17" s="174"/>
      <x:c r="U17" s="175"/>
      <x:c r="V17" s="176"/>
      <x:c r="W17" s="176"/>
      <x:c r="X17" s="170"/>
    </x:row>
    <x:row r="18">
      <x:c r="A18" s="158"/>
      <x:c r="B18" s="158"/>
      <x:c r="C18" s="158"/>
      <x:c r="D18" s="158"/>
      <x:c r="E18" s="158"/>
      <x:c r="F18" s="158"/>
      <x:c r="G18" s="158"/>
      <x:c r="H18" s="158"/>
      <x:c r="I18" s="170"/>
      <x:c r="J18" s="170"/>
      <x:c r="K18" s="170"/>
      <x:c r="L18" s="170"/>
      <x:c r="M18" s="170"/>
      <x:c r="N18" s="158"/>
      <x:c r="O18" s="171"/>
      <x:c r="P18" s="158"/>
      <x:c r="Q18" s="172"/>
      <x:c r="R18" s="173"/>
      <x:c r="S18" s="174"/>
      <x:c r="T18" s="174"/>
      <x:c r="U18" s="175"/>
      <x:c r="V18" s="176"/>
      <x:c r="W18" s="176"/>
      <x:c r="X18" s="170"/>
    </x:row>
    <x:row r="19">
      <x:c r="A19" s="158"/>
      <x:c r="B19" s="158"/>
      <x:c r="C19" s="158"/>
      <x:c r="D19" s="158"/>
      <x:c r="E19" s="158"/>
      <x:c r="F19" s="158"/>
      <x:c r="G19" s="158"/>
      <x:c r="H19" s="158"/>
      <x:c r="I19" s="170"/>
      <x:c r="J19" s="170"/>
      <x:c r="K19" s="170"/>
      <x:c r="L19" s="170"/>
      <x:c r="M19" s="170"/>
      <x:c r="N19" s="158"/>
      <x:c r="O19" s="171"/>
      <x:c r="P19" s="158"/>
      <x:c r="Q19" s="172"/>
      <x:c r="R19" s="173"/>
      <x:c r="S19" s="174"/>
      <x:c r="T19" s="174"/>
      <x:c r="U19" s="175"/>
      <x:c r="V19" s="176"/>
      <x:c r="W19" s="176"/>
      <x:c r="X19" s="170"/>
    </x:row>
    <x:row r="20">
      <x:c r="A20" s="158"/>
      <x:c r="B20" s="158"/>
      <x:c r="C20" s="158"/>
      <x:c r="D20" s="158"/>
      <x:c r="E20" s="158"/>
      <x:c r="F20" s="158"/>
      <x:c r="G20" s="158"/>
      <x:c r="H20" s="158"/>
      <x:c r="I20" s="170"/>
      <x:c r="J20" s="170"/>
      <x:c r="K20" s="170"/>
      <x:c r="L20" s="170"/>
      <x:c r="M20" s="170"/>
      <x:c r="N20" s="158"/>
      <x:c r="O20" s="171"/>
      <x:c r="P20" s="158"/>
      <x:c r="Q20" s="172"/>
      <x:c r="R20" s="173"/>
      <x:c r="S20" s="174"/>
      <x:c r="T20" s="174"/>
      <x:c r="U20" s="175"/>
      <x:c r="V20" s="176"/>
      <x:c r="W20" s="176"/>
      <x:c r="X20" s="170"/>
    </x:row>
    <x:row r="21">
      <x:c r="A21" s="158"/>
      <x:c r="B21" s="158"/>
      <x:c r="C21" s="158"/>
      <x:c r="D21" s="158"/>
      <x:c r="E21" s="158"/>
      <x:c r="F21" s="158"/>
      <x:c r="G21" s="158"/>
      <x:c r="H21" s="158"/>
      <x:c r="I21" s="170"/>
      <x:c r="J21" s="170"/>
      <x:c r="K21" s="170"/>
      <x:c r="L21" s="170"/>
      <x:c r="M21" s="170"/>
      <x:c r="N21" s="158"/>
      <x:c r="O21" s="171"/>
      <x:c r="P21" s="158"/>
      <x:c r="Q21" s="172"/>
      <x:c r="R21" s="173"/>
      <x:c r="S21" s="174"/>
      <x:c r="T21" s="174"/>
      <x:c r="U21" s="175"/>
      <x:c r="V21" s="176"/>
      <x:c r="W21" s="176"/>
      <x:c r="X21" s="170"/>
    </x:row>
    <x:row r="22">
      <x:c r="A22" s="158"/>
      <x:c r="B22" s="158"/>
      <x:c r="C22" s="158"/>
      <x:c r="D22" s="158"/>
      <x:c r="E22" s="158"/>
      <x:c r="F22" s="158"/>
      <x:c r="G22" s="158"/>
      <x:c r="H22" s="158"/>
      <x:c r="I22" s="170"/>
      <x:c r="J22" s="170"/>
      <x:c r="K22" s="170"/>
      <x:c r="L22" s="170"/>
      <x:c r="M22" s="170"/>
      <x:c r="N22" s="158"/>
      <x:c r="O22" s="171"/>
      <x:c r="P22" s="158"/>
      <x:c r="Q22" s="172"/>
      <x:c r="R22" s="173"/>
      <x:c r="S22" s="174"/>
      <x:c r="T22" s="174"/>
      <x:c r="U22" s="175"/>
      <x:c r="V22" s="176"/>
      <x:c r="W22" s="176"/>
      <x:c r="X22" s="170"/>
    </x:row>
    <x:row r="23">
      <x:c r="A23" s="158"/>
      <x:c r="B23" s="158"/>
      <x:c r="C23" s="158"/>
      <x:c r="D23" s="158"/>
      <x:c r="E23" s="158"/>
      <x:c r="F23" s="158"/>
      <x:c r="G23" s="158"/>
      <x:c r="H23" s="158"/>
      <x:c r="I23" s="170"/>
      <x:c r="J23" s="170"/>
      <x:c r="K23" s="170"/>
      <x:c r="L23" s="170"/>
      <x:c r="M23" s="170"/>
      <x:c r="N23" s="158"/>
      <x:c r="O23" s="171"/>
      <x:c r="P23" s="158"/>
      <x:c r="Q23" s="172"/>
      <x:c r="R23" s="173"/>
      <x:c r="S23" s="174"/>
      <x:c r="T23" s="174"/>
      <x:c r="U23" s="175"/>
      <x:c r="V23" s="176"/>
      <x:c r="W23" s="176"/>
      <x:c r="X23" s="170"/>
    </x:row>
    <x:row r="24">
      <x:c r="A24" s="158"/>
      <x:c r="B24" s="158"/>
      <x:c r="C24" s="158"/>
      <x:c r="D24" s="158"/>
      <x:c r="E24" s="158"/>
      <x:c r="F24" s="158"/>
      <x:c r="G24" s="158"/>
      <x:c r="H24" s="158"/>
      <x:c r="I24" s="170"/>
      <x:c r="J24" s="170"/>
      <x:c r="K24" s="170"/>
      <x:c r="L24" s="170"/>
      <x:c r="M24" s="170"/>
      <x:c r="N24" s="158"/>
      <x:c r="O24" s="171"/>
      <x:c r="P24" s="158"/>
      <x:c r="Q24" s="172"/>
      <x:c r="R24" s="173"/>
      <x:c r="S24" s="174"/>
      <x:c r="T24" s="174"/>
      <x:c r="U24" s="175"/>
      <x:c r="V24" s="176"/>
      <x:c r="W24" s="176"/>
      <x:c r="X24" s="170"/>
    </x:row>
    <x:row r="25">
      <x:c r="A25" s="158"/>
      <x:c r="B25" s="158"/>
      <x:c r="C25" s="158"/>
      <x:c r="D25" s="158"/>
      <x:c r="E25" s="158"/>
      <x:c r="F25" s="158"/>
      <x:c r="G25" s="158"/>
      <x:c r="H25" s="158"/>
      <x:c r="I25" s="170"/>
      <x:c r="J25" s="170"/>
      <x:c r="K25" s="170"/>
      <x:c r="L25" s="170"/>
      <x:c r="M25" s="170"/>
      <x:c r="N25" s="158"/>
      <x:c r="O25" s="171"/>
      <x:c r="P25" s="158"/>
      <x:c r="Q25" s="172"/>
      <x:c r="R25" s="173"/>
      <x:c r="S25" s="174"/>
      <x:c r="T25" s="174"/>
      <x:c r="U25" s="175"/>
      <x:c r="V25" s="176"/>
      <x:c r="W25" s="176"/>
      <x:c r="X25" s="170"/>
    </x:row>
    <x:row r="26">
      <x:c r="A26" s="158"/>
      <x:c r="B26" s="158"/>
      <x:c r="C26" s="158"/>
      <x:c r="D26" s="158"/>
      <x:c r="E26" s="158"/>
      <x:c r="F26" s="158"/>
      <x:c r="G26" s="158"/>
      <x:c r="H26" s="158"/>
      <x:c r="I26" s="170"/>
      <x:c r="J26" s="170"/>
      <x:c r="K26" s="170"/>
      <x:c r="L26" s="170"/>
      <x:c r="M26" s="170"/>
      <x:c r="N26" s="158"/>
      <x:c r="O26" s="171"/>
      <x:c r="P26" s="158"/>
      <x:c r="Q26" s="172"/>
      <x:c r="R26" s="173"/>
      <x:c r="S26" s="174"/>
      <x:c r="T26" s="174"/>
      <x:c r="U26" s="175"/>
      <x:c r="V26" s="176"/>
      <x:c r="W26" s="176"/>
      <x:c r="X26" s="170"/>
    </x:row>
    <x:row r="27">
      <x:c r="A27" s="158"/>
      <x:c r="B27" s="158"/>
      <x:c r="C27" s="158"/>
      <x:c r="D27" s="158"/>
      <x:c r="E27" s="158"/>
      <x:c r="F27" s="158"/>
      <x:c r="G27" s="158"/>
      <x:c r="H27" s="158"/>
      <x:c r="I27" s="170"/>
      <x:c r="J27" s="170"/>
      <x:c r="K27" s="170"/>
      <x:c r="L27" s="170"/>
      <x:c r="M27" s="170"/>
      <x:c r="N27" s="158"/>
      <x:c r="O27" s="171"/>
      <x:c r="P27" s="158"/>
      <x:c r="Q27" s="172"/>
      <x:c r="R27" s="173"/>
      <x:c r="S27" s="174"/>
      <x:c r="T27" s="174"/>
      <x:c r="U27" s="175"/>
      <x:c r="V27" s="176"/>
      <x:c r="W27" s="176"/>
      <x:c r="X27" s="170"/>
    </x:row>
    <x:row r="28">
      <x:c r="A28" s="158"/>
      <x:c r="B28" s="158"/>
      <x:c r="C28" s="158"/>
      <x:c r="D28" s="158"/>
      <x:c r="E28" s="158"/>
      <x:c r="F28" s="158"/>
      <x:c r="G28" s="158"/>
      <x:c r="H28" s="158"/>
      <x:c r="I28" s="170"/>
      <x:c r="J28" s="170"/>
      <x:c r="K28" s="170"/>
      <x:c r="L28" s="170"/>
      <x:c r="M28" s="170"/>
      <x:c r="N28" s="158"/>
      <x:c r="O28" s="171"/>
      <x:c r="P28" s="158"/>
      <x:c r="Q28" s="172"/>
      <x:c r="R28" s="173"/>
      <x:c r="S28" s="174"/>
      <x:c r="T28" s="174"/>
      <x:c r="U28" s="175"/>
      <x:c r="V28" s="176"/>
      <x:c r="W28" s="176"/>
      <x:c r="X28" s="170"/>
    </x:row>
    <x:row r="29">
      <x:c r="A29" s="158"/>
      <x:c r="B29" s="158"/>
      <x:c r="C29" s="158"/>
      <x:c r="D29" s="158"/>
      <x:c r="E29" s="158"/>
      <x:c r="F29" s="158"/>
      <x:c r="G29" s="158"/>
      <x:c r="H29" s="158"/>
      <x:c r="I29" s="170"/>
      <x:c r="J29" s="170"/>
      <x:c r="K29" s="170"/>
      <x:c r="L29" s="170"/>
      <x:c r="M29" s="170"/>
      <x:c r="N29" s="158"/>
      <x:c r="O29" s="171"/>
      <x:c r="P29" s="158"/>
      <x:c r="Q29" s="172"/>
      <x:c r="R29" s="173"/>
      <x:c r="S29" s="174"/>
      <x:c r="T29" s="174"/>
      <x:c r="U29" s="175"/>
      <x:c r="V29" s="176"/>
      <x:c r="W29" s="176"/>
      <x:c r="X29" s="170"/>
    </x:row>
    <x:row r="30">
      <x:c r="A30" s="158"/>
      <x:c r="B30" s="158"/>
      <x:c r="C30" s="158"/>
      <x:c r="D30" s="158"/>
      <x:c r="E30" s="158"/>
      <x:c r="F30" s="158"/>
      <x:c r="G30" s="158"/>
      <x:c r="H30" s="158"/>
      <x:c r="I30" s="170"/>
      <x:c r="J30" s="170"/>
      <x:c r="K30" s="170"/>
      <x:c r="L30" s="170"/>
      <x:c r="M30" s="170"/>
      <x:c r="N30" s="158"/>
      <x:c r="O30" s="171"/>
      <x:c r="P30" s="158"/>
      <x:c r="Q30" s="172"/>
      <x:c r="R30" s="173"/>
      <x:c r="S30" s="174"/>
      <x:c r="T30" s="174"/>
      <x:c r="U30" s="175"/>
      <x:c r="V30" s="176"/>
      <x:c r="W30" s="176"/>
      <x:c r="X30" s="170"/>
    </x:row>
  </x:sheetData>
  <x:mergeCells>
    <x:mergeCell ref="A1:X1"/>
    <x:mergeCell ref="A2:X2"/>
  </x:mergeCells>
  <x:conditionalFormatting sqref="S5:W30">
    <x:cfRule type="cellIs" dxfId="12" priority="1" operator="greaterThan">
      <x:formula>0</x:formula>
    </x:cfRule>
    <x:cfRule type="cellIs" dxfId="13" priority="2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6" hidden="0" customWidth="1"/>
    <x:col min="6" max="6" width="28" hidden="0" customWidth="1"/>
    <x:col min="7" max="7" width="45" hidden="0" customWidth="1"/>
  </x:cols>
  <x:sheetData>
    <x:row r="1" ht="32" customHeight="1">
      <x:c r="A1" s="53" t="str">
        <x:v>来源、假设与模型检查</x:v>
      </x:c>
      <x:c r="B1" s="53" t="str">
        <x:v>来源、假设与模型检查</x:v>
      </x:c>
      <x:c r="C1" s="53" t="str">
        <x:v>来源、假设与模型检查</x:v>
      </x:c>
      <x:c r="D1" s="53" t="str">
        <x:v>来源、假设与模型检查</x:v>
      </x:c>
      <x:c r="E1" s="53" t="str">
        <x:v>来源、假设与模型检查</x:v>
      </x:c>
      <x:c r="F1" s="53" t="str">
        <x:v>来源、假设与模型检查</x:v>
      </x:c>
      <x:c r="G1" s="53" t="str">
        <x:v>来源、假设与模型检查</x:v>
      </x:c>
    </x:row>
    <x:row r="2">
      <x:c r="A2" s="55"/>
      <x:c r="B2" s="55"/>
      <x:c r="C2" s="55"/>
      <x:c r="D2" s="55"/>
      <x:c r="E2" s="55"/>
      <x:c r="F2" s="55"/>
      <x:c r="G2" s="55"/>
    </x:row>
    <x:row r="3" ht="24" customHeight="1">
      <x:c r="A3" s="56" t="str">
        <x:v>数据来源</x:v>
      </x:c>
      <x:c r="B3" s="56" t="str">
        <x:v>数据来源</x:v>
      </x:c>
      <x:c r="C3" s="56" t="str">
        <x:v>数据来源</x:v>
      </x:c>
      <x:c r="D3" s="56" t="str">
        <x:v>数据来源</x:v>
      </x:c>
      <x:c r="E3" s="56" t="str">
        <x:v>数据来源</x:v>
      </x:c>
      <x:c r="F3" s="56" t="str">
        <x:v>数据来源</x:v>
      </x:c>
      <x:c r="G3" s="56" t="str">
        <x:v>数据来源</x:v>
      </x:c>
    </x:row>
    <x:row r="4">
      <x:c r="A4" s="59" t="str">
        <x:v>来源ID</x:v>
      </x:c>
      <x:c r="B4" s="59" t="str">
        <x:v>项目</x:v>
      </x:c>
      <x:c r="C4" s="59" t="str">
        <x:v>数值/范围</x:v>
      </x:c>
      <x:c r="D4" s="59" t="str">
        <x:v>时点</x:v>
      </x:c>
      <x:c r="E4" s="59" t="str">
        <x:v>来源名称</x:v>
      </x:c>
      <x:c r="F4" s="59" t="str">
        <x:v>URL/路径</x:v>
      </x:c>
      <x:c r="G4" s="59" t="str">
        <x:v>证据与备注</x:v>
      </x:c>
    </x:row>
    <x:row r="5">
      <x:c r="A5" s="139" t="str">
        <x:v>SRC-01</x:v>
      </x:c>
      <x:c r="B5" s="139" t="str">
        <x:v>黄河旋风行情</x:v>
      </x:c>
      <x:c r="C5" s="139" t="str">
        <x:v>15.23；高15.50；低14.16</x:v>
      </x:c>
      <x:c r="D5" s="139" t="str">
        <x:v>2026-09-02 10:04:00+08:00</x:v>
      </x:c>
      <x:c r="E5" s="139" t="str">
        <x:v>东方财富行情页</x:v>
      </x:c>
      <x:c r="F5" s="183" t="str">
        <x:v>https://quote.eastmoney.com/sh600172.html</x:v>
      </x:c>
      <x:c r="G5" s="139" t="str">
        <x:v>B级动态行情快照；工作簿内最新价可更新</x:v>
      </x:c>
    </x:row>
    <x:row r="6">
      <x:c r="A6" s="139" t="str">
        <x:v>SRC-02</x:v>
      </x:c>
      <x:c r="B6" s="139" t="str">
        <x:v>福达合金行情</x:v>
      </x:c>
      <x:c r="C6" s="139" t="str">
        <x:v>53.86；高55.30；低53.78</x:v>
      </x:c>
      <x:c r="D6" s="139" t="str">
        <x:v>2026-09-02 10:04:02+08:00</x:v>
      </x:c>
      <x:c r="E6" s="139" t="str">
        <x:v>东方财富行情页</x:v>
      </x:c>
      <x:c r="F6" s="183" t="str">
        <x:v>https://quote.eastmoney.com/sh603045.html</x:v>
      </x:c>
      <x:c r="G6" s="139" t="str">
        <x:v>B级动态行情快照；工作簿内最新价可更新</x:v>
      </x:c>
    </x:row>
    <x:row r="7">
      <x:c r="A7" s="139" t="str">
        <x:v>SRC-03</x:v>
      </x:c>
      <x:c r="B7" s="139" t="str">
        <x:v>用户持仓</x:v>
      </x:c>
      <x:c r="C7" s="139" t="str">
        <x:v>成本与股数</x:v>
      </x:c>
      <x:c r="D7" s="139" t="str">
        <x:v>2026-09-02</x:v>
      </x:c>
      <x:c r="E7" s="139" t="str">
        <x:v>用户输入</x:v>
      </x:c>
      <x:c r="F7" s="183" t="str">
        <x:v>conversation://current</x:v>
      </x:c>
      <x:c r="G7" s="139" t="str">
        <x:v>B级可复核输入；成本价可能已含佣金</x:v>
      </x:c>
    </x:row>
    <x:row r="8">
      <x:c r="A8" s="139" t="str">
        <x:v>SRC-04</x:v>
      </x:c>
      <x:c r="B8" s="139" t="str">
        <x:v>交易风险规则</x:v>
      </x:c>
      <x:c r="C8" s="139" t="str">
        <x:v>验证档/仓位/压力</x:v>
      </x:c>
      <x:c r="D8" s="139" t="str">
        <x:v>as_of=2026-09-01</x:v>
      </x:c>
      <x:c r="E8" s="139" t="str">
        <x:v>本地Skill</x:v>
      </x:c>
      <x:c r="F8" s="183" t="str">
        <x:v>/Users/esen/private/trade/trade/a-share-ultrashort-preopen/references/risk-model.md</x:v>
      </x:c>
      <x:c r="G8" s="139" t="str">
        <x:v>本地规则，精确交易前仍需核验最新官方制度</x:v>
      </x:c>
    </x:row>
    <x:row r="9">
      <x:c r="A9" s="139" t="str">
        <x:v>SRC-05</x:v>
      </x:c>
      <x:c r="B9" s="139" t="str">
        <x:v>上交所交易制度</x:v>
      </x:c>
      <x:c r="C9" s="139" t="str">
        <x:v>T+1与交易规则</x:v>
      </x:c>
      <x:c r="D9" s="139" t="str">
        <x:v>2026-09-01核验</x:v>
      </x:c>
      <x:c r="E9" s="139" t="str">
        <x:v>上海证券交易所</x:v>
      </x:c>
      <x:c r="F9" s="183" t="str">
        <x:v>https://www.sse.com.cn/lawandrules/sselawsrules2025/stocks/exchange/c/c_20260424_10816482.shtml</x:v>
      </x:c>
      <x:c r="G9" s="139" t="str">
        <x:v>A级规则证据</x:v>
      </x:c>
    </x:row>
    <x:row r="10">
      <x:c r="A10" s="139" t="str">
        <x:v>SRC-06</x:v>
      </x:c>
      <x:c r="B10" s="139" t="str">
        <x:v>费用说明</x:v>
      </x:c>
      <x:c r="C10" s="139" t="str">
        <x:v>佣金/税费边界</x:v>
      </x:c>
      <x:c r="D10" s="139" t="str">
        <x:v>2026-09-01核验</x:v>
      </x:c>
      <x:c r="E10" s="139" t="str">
        <x:v>上交所交易费用</x:v>
      </x:c>
      <x:c r="F10" s="183" t="str">
        <x:v>https://one.sse.com.cn/onething/gptz/</x:v>
      </x:c>
      <x:c r="G10" s="139" t="str">
        <x:v>实际券商佣金仍缺失；当前仅作压力假设</x:v>
      </x:c>
    </x:row>
    <x:row r="11">
      <x:c r="A11" s="55"/>
      <x:c r="B11" s="55"/>
      <x:c r="C11" s="55"/>
      <x:c r="D11" s="55"/>
      <x:c r="E11" s="55"/>
      <x:c r="F11" s="55"/>
      <x:c r="G11" s="55"/>
    </x:row>
    <x:row r="12" ht="24" customHeight="1">
      <x:c r="A12" s="56" t="str">
        <x:v>可审计检查</x:v>
      </x:c>
      <x:c r="B12" s="56" t="str">
        <x:v>可审计检查</x:v>
      </x:c>
      <x:c r="C12" s="56" t="str">
        <x:v>可审计检查</x:v>
      </x:c>
      <x:c r="D12" s="56" t="str">
        <x:v>可审计检查</x:v>
      </x:c>
      <x:c r="E12" s="56" t="str">
        <x:v>可审计检查</x:v>
      </x:c>
      <x:c r="F12" s="56" t="str">
        <x:v>可审计检查</x:v>
      </x:c>
      <x:c r="G12" s="56" t="str">
        <x:v>可审计检查</x:v>
      </x:c>
    </x:row>
    <x:row r="13">
      <x:c r="A13" s="59" t="str">
        <x:v>检查项</x:v>
      </x:c>
      <x:c r="B13" s="59" t="str">
        <x:v>实际值</x:v>
      </x:c>
      <x:c r="C13" s="59" t="str">
        <x:v>期望/上限</x:v>
      </x:c>
      <x:c r="D13" s="59" t="str">
        <x:v>差异/容差</x:v>
      </x:c>
      <x:c r="E13" s="59" t="str">
        <x:v>状态</x:v>
      </x:c>
      <x:c r="F13" s="59" t="str">
        <x:v>原因代码</x:v>
      </x:c>
      <x:c r="G13" s="59" t="str">
        <x:v>说明</x:v>
      </x:c>
    </x:row>
    <x:row r="14">
      <x:c r="A14" s="62" t="str">
        <x:v>总成本勾稽</x:v>
      </x:c>
      <x:c r="B14" s="66" t="n">
        <x:f>'持仓总览'!C4</x:f>
        <x:v>19574.6</x:v>
      </x:c>
      <x:c r="C14" s="66" t="n">
        <x:f>SUM('持仓总览'!F8:F9)</x:f>
        <x:v>19574.6</x:v>
      </x:c>
      <x:c r="D14" s="62" t="n">
        <x:f>B14-C14</x:f>
        <x:v>0</x:v>
      </x:c>
      <x:c r="E14" s="62" t="str">
        <x:f>IF(ABS(D14)&lt;0.01,"OK","FAIL")</x:f>
        <x:v>OK</x:v>
      </x:c>
      <x:c r="F14" s="62" t="str">
        <x:f>IF(E14="OK","","MODEL_TIE_OUT")</x:f>
      </x:c>
      <x:c r="G14" s="62" t="str">
        <x:f>IF(E14="OK","成本金额与汇总一致","检查公式或输入")</x:f>
        <x:v>成本金额与汇总一致</x:v>
      </x:c>
    </x:row>
    <x:row r="15">
      <x:c r="A15" s="62" t="str">
        <x:v>总仓位上限</x:v>
      </x:c>
      <x:c r="B15" s="69" t="n">
        <x:f>'持仓总览'!G4</x:f>
        <x:v>0.6636666666666666</x:v>
      </x:c>
      <x:c r="C15" s="69" t="n">
        <x:f>'参数设置'!B14</x:f>
        <x:v>0.6</x:v>
      </x:c>
      <x:c r="D15" s="69" t="n">
        <x:f>B15-C15</x:f>
        <x:v>0.06366666666666665</x:v>
      </x:c>
      <x:c r="E15" s="62" t="str">
        <x:f>IF(B15&lt;=C15,"OK","FAIL")</x:f>
        <x:v>FAIL</x:v>
      </x:c>
      <x:c r="F15" s="62" t="str">
        <x:f>IF(E15="OK","","PORTFOLIO_RISK_CAP")</x:f>
        <x:v>PORTFOLIO_RISK_CAP</x:v>
      </x:c>
      <x:c r="G15" s="62" t="str">
        <x:v>总仓超过验证档60%</x:v>
      </x:c>
    </x:row>
    <x:row r="16">
      <x:c r="A16" s="62" t="str">
        <x:v>黄河旋风单股仓位</x:v>
      </x:c>
      <x:c r="B16" s="69" t="n">
        <x:f>'持仓总览'!H8</x:f>
        <x:v>0.3046</x:v>
      </x:c>
      <x:c r="C16" s="69" t="n">
        <x:f>'参数设置'!B15</x:f>
        <x:v>0.3</x:v>
      </x:c>
      <x:c r="D16" s="69" t="n">
        <x:f>B16-C16</x:f>
        <x:v>0.004599999999999993</x:v>
      </x:c>
      <x:c r="E16" s="62" t="str">
        <x:f>IF(B16&lt;=C16,"OK","FAIL")</x:f>
        <x:v>FAIL</x:v>
      </x:c>
      <x:c r="F16" s="62" t="str">
        <x:f>IF(E16="OK","","BOARD_CAP")</x:f>
        <x:v>BOARD_CAP</x:v>
      </x:c>
      <x:c r="G16" s="62" t="str">
        <x:v>按当前市值计算</x:v>
      </x:c>
    </x:row>
    <x:row r="17">
      <x:c r="A17" s="62" t="str">
        <x:v>福达合金单股仓位</x:v>
      </x:c>
      <x:c r="B17" s="69" t="n">
        <x:f>'持仓总览'!H9</x:f>
        <x:v>0.35906666666666665</x:v>
      </x:c>
      <x:c r="C17" s="69" t="n">
        <x:f>'参数设置'!B15</x:f>
        <x:v>0.3</x:v>
      </x:c>
      <x:c r="D17" s="69" t="n">
        <x:f>B17-C17</x:f>
        <x:v>0.059066666666666656</x:v>
      </x:c>
      <x:c r="E17" s="62" t="str">
        <x:f>IF(B17&lt;=C17,"OK","FAIL")</x:f>
        <x:v>FAIL</x:v>
      </x:c>
      <x:c r="F17" s="62" t="str">
        <x:f>IF(E17="OK","","BOARD_CAP")</x:f>
        <x:v>BOARD_CAP</x:v>
      </x:c>
      <x:c r="G17" s="62" t="str">
        <x:v>福达合金明确超限</x:v>
      </x:c>
    </x:row>
    <x:row r="18">
      <x:c r="A18" s="62" t="str">
        <x:v>黄河旋风跌停压力</x:v>
      </x:c>
      <x:c r="B18" s="69" t="n">
        <x:f>'持仓总览'!O8</x:f>
        <x:v>0.03046</x:v>
      </x:c>
      <x:c r="C18" s="69" t="n">
        <x:f>'参数设置'!B12</x:f>
        <x:v>0.03</x:v>
      </x:c>
      <x:c r="D18" s="69" t="n">
        <x:f>B18-C18</x:f>
        <x:v>0.0004600000000000021</x:v>
      </x:c>
      <x:c r="E18" s="62" t="str">
        <x:f>IF(B18&lt;=C18,"OK","FAIL")</x:f>
        <x:v>FAIL</x:v>
      </x:c>
      <x:c r="F18" s="62" t="str">
        <x:f>IF(E18="OK","","SINGLE_STOCK_STRESS_CAP")</x:f>
        <x:v>SINGLE_STOCK_STRESS_CAP</x:v>
      </x:c>
      <x:c r="G18" s="62" t="str">
        <x:v>按当前市值与10%压力计算</x:v>
      </x:c>
    </x:row>
    <x:row r="19">
      <x:c r="A19" s="62" t="str">
        <x:v>福达合金跌停压力</x:v>
      </x:c>
      <x:c r="B19" s="69" t="n">
        <x:f>'持仓总览'!O9</x:f>
        <x:v>0.03590666666666667</x:v>
      </x:c>
      <x:c r="C19" s="69" t="n">
        <x:f>'参数设置'!B12</x:f>
        <x:v>0.03</x:v>
      </x:c>
      <x:c r="D19" s="69" t="n">
        <x:f>B19-C19</x:f>
        <x:v>0.005906666666666671</x:v>
      </x:c>
      <x:c r="E19" s="62" t="str">
        <x:f>IF(B19&lt;=C19,"OK","FAIL")</x:f>
        <x:v>FAIL</x:v>
      </x:c>
      <x:c r="F19" s="62" t="str">
        <x:f>IF(E19="OK","","SINGLE_STOCK_STRESS_CAP")</x:f>
        <x:v>SINGLE_STOCK_STRESS_CAP</x:v>
      </x:c>
      <x:c r="G19" s="62" t="str">
        <x:v>按当前市值与10%压力计算</x:v>
      </x:c>
    </x:row>
    <x:row r="20">
      <x:c r="A20" s="62" t="str">
        <x:v>黄河旋风净R</x:v>
      </x:c>
      <x:c r="B20" s="123" t="n">
        <x:f>'持仓总览'!P8</x:f>
        <x:v>2.0555827007793175</x:v>
      </x:c>
      <x:c r="C20" s="123" t="n">
        <x:f>'参数设置'!B18</x:f>
        <x:v>2.5</x:v>
      </x:c>
      <x:c r="D20" s="123" t="n">
        <x:f>B20-C20</x:f>
        <x:v>-0.4444172992206825</x:v>
      </x:c>
      <x:c r="E20" s="62" t="str">
        <x:f>IF(B20&gt;=C20,"OK","FAIL")</x:f>
        <x:v>FAIL</x:v>
      </x:c>
      <x:c r="F20" s="62" t="str">
        <x:f>IF(E20="OK","","NET_R_BELOW_THRESHOLD")</x:f>
        <x:v>NET_R_BELOW_THRESHOLD</x:v>
      </x:c>
      <x:c r="G20" s="62" t="str">
        <x:v>第一压力位口径</x:v>
      </x:c>
    </x:row>
    <x:row r="21">
      <x:c r="A21" s="62" t="str">
        <x:v>福达合金净R</x:v>
      </x:c>
      <x:c r="B21" s="123" t="n">
        <x:f>'持仓总览'!P9</x:f>
        <x:v>2.093657887807563</x:v>
      </x:c>
      <x:c r="C21" s="123" t="n">
        <x:f>'参数设置'!B18</x:f>
        <x:v>2.5</x:v>
      </x:c>
      <x:c r="D21" s="123" t="n">
        <x:f>B21-C21</x:f>
        <x:v>-0.4063421121924371</x:v>
      </x:c>
      <x:c r="E21" s="62" t="str">
        <x:f>IF(B21&gt;=C21,"OK","FAIL")</x:f>
        <x:v>FAIL</x:v>
      </x:c>
      <x:c r="F21" s="62" t="str">
        <x:f>IF(E21="OK","","NET_R_BELOW_THRESHOLD")</x:f>
        <x:v>NET_R_BELOW_THRESHOLD</x:v>
      </x:c>
      <x:c r="G21" s="62" t="str">
        <x:v>第一压力位口径</x:v>
      </x:c>
    </x:row>
    <x:row r="22">
      <x:c r="A22" s="62" t="str">
        <x:v>关键输入完整性</x:v>
      </x:c>
      <x:c r="B22" s="62" t="n">
        <x:f>0</x:f>
        <x:v>0</x:v>
      </x:c>
      <x:c r="C22" s="62" t="n">
        <x:f>1</x:f>
        <x:v>1</x:v>
      </x:c>
      <x:c r="D22" s="62" t="n">
        <x:f>B22-C22</x:f>
        <x:v>-1</x:v>
      </x:c>
      <x:c r="E22" s="62" t="str">
        <x:f>"INCOMPLETE"</x:f>
        <x:v>INCOMPLETE</x:v>
      </x:c>
      <x:c r="F22" s="62" t="str">
        <x:f>"MISSING_INPUT"</x:f>
        <x:v>MISSING_INPUT</x:v>
      </x:c>
      <x:c r="G22" s="62" t="str">
        <x:v>缺少实际佣金、真实成交均价、券商可卖数量和当日收盘数据</x:v>
      </x:c>
    </x:row>
    <x:row r="23">
      <x:c r="A23" s="55"/>
      <x:c r="B23" s="55"/>
      <x:c r="C23" s="55"/>
      <x:c r="D23" s="55"/>
      <x:c r="E23" s="55"/>
      <x:c r="F23" s="55"/>
      <x:c r="G23" s="55"/>
    </x:row>
    <x:row r="24">
      <x:c r="A24" s="184" t="str">
        <x:v>模型状态</x:v>
      </x:c>
      <x:c r="B24" s="184" t="str">
        <x:v>模型状态</x:v>
      </x:c>
      <x:c r="C24" s="184" t="str">
        <x:v>模型状态</x:v>
      </x:c>
      <x:c r="D24" s="184" t="str">
        <x:v>模型状态</x:v>
      </x:c>
      <x:c r="E24" s="185" t="str">
        <x:f>IF(COUNTIF(E14:E22,"FAIL")+COUNTIF(E14:E22,"INCOMPLETE")=0,"OK","REVIEW")</x:f>
        <x:v>REVIEW</x:v>
      </x:c>
      <x:c r="F24" s="185"/>
      <x:c r="G24" s="185"/>
    </x:row>
  </x:sheetData>
  <x:mergeCells>
    <x:mergeCell ref="A1:G1"/>
    <x:mergeCell ref="A3:G3"/>
    <x:mergeCell ref="A12:G12"/>
    <x:mergeCell ref="A24:D24"/>
    <x:mergeCell ref="E24:G24"/>
  </x:mergeCells>
  <x:conditionalFormatting sqref="E14:E22">
    <x:cfRule type="containsText" dxfId="14" priority="1" operator="containsText" text="OK"/>
    <x:cfRule type="containsText" dxfId="15" priority="2" operator="containsText" text="FAIL"/>
    <x:cfRule type="containsText" dxfId="16" priority="3" operator="containsText" text="INCOMPLETE"/>
  </x:conditionalFormatting>
  <x:pageMargins left="0.7" right="0.7" top="0.75" bottom="0.75" header="0.3" footer="0.3"/>
</x:worksheet>
</file>