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32f6e616de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持仓总览" sheetId="1" r:id="R950bddd32f324827"/>
    <x:sheet xmlns:r="http://schemas.openxmlformats.org/officeDocument/2006/relationships" name="参数设置" sheetId="2" r:id="R56b727cf3db1463a"/>
    <x:sheet xmlns:r="http://schemas.openxmlformats.org/officeDocument/2006/relationships" name="次日策略" sheetId="3" r:id="R82949ef523c54b18"/>
    <x:sheet xmlns:r="http://schemas.openxmlformats.org/officeDocument/2006/relationships" name="交易日志" sheetId="4" r:id="R129f21aae74243a1"/>
    <x:sheet xmlns:r="http://schemas.openxmlformats.org/officeDocument/2006/relationships" name="运行记录" sheetId="5" r:id="R2cfe2881eb224ad6"/>
    <x:sheet xmlns:r="http://schemas.openxmlformats.org/officeDocument/2006/relationships" name="候选记录" sheetId="6" r:id="Rd51799a5c9c64ba1"/>
    <x:sheet xmlns:r="http://schemas.openxmlformats.org/officeDocument/2006/relationships" name="来源与检查" sheetId="7" r:id="Rf06c9dc207c24bed"/>
  </x:sheets>
</x:workbook>
</file>

<file path=xl/comments1.xml><?xml version="1.0" encoding="utf-8"?>
<x:comments xmlns:x="http://schemas.openxmlformats.org/spreadsheetml/2006/main">
  <x:authors>
    <x:author>tc={D91A228B-A9AE-4B9D-9C98-A1762C1DC0F7}</x:author>
    <x:author>tc={5DCE7769-82BB-453A-9CBF-D1F407E4E475}</x:author>
  </x:authors>
  <x:commentList>
    <x:comment ref="E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https://hq.sinajs.cn/list=sz000925; observed 2026-09-03 10:08:27+08:00.</x:t>
        </x:r>
      </x:text>
    </x:comment>
    <x:comment ref="E9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https://hq.sinajs.cn/list=sh601212; observed 2026-09-03 10:08:27+08:00.</x:t>
        </x:r>
      </x:text>
    </x:comment>
  </x:commentList>
</x:comments>
</file>

<file path=xl/comments2.xml><?xml version="1.0" encoding="utf-8"?>
<x:comments xmlns:x="http://schemas.openxmlformats.org/spreadsheetml/2006/main">
  <x:authors>
    <x:author>tc={0931E631-9A16-4D61-BEBC-3A4E3C64DF28}</x:author>
    <x:author>tc={24B9C74E-3429-4FA2-BB3F-5D20FD5A14F8}</x:author>
  </x:authors>
  <x:commentList>
    <x:comment ref="F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以2026-09-03 10:08:27盘中价8.68评估；盘中价格会变化。</x:t>
        </x:r>
      </x:text>
    </x:comment>
    <x:comment ref="F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以2026-09-03 10:08:27盘中价6.93评估；盘中价格会变化。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4">
    <x:numFmt numFmtId="200" formatCode="&quot;¥&quot;#,##0.00;[Red](&quot;¥&quot;#,##0.00);-"/>
    <x:numFmt numFmtId="201" formatCode="0.0000%"/>
    <x:numFmt numFmtId="202" formatCode="0.00%;[Red](0.00%);-"/>
    <x:numFmt numFmtId="203" formatCode="0.00&quot;R&quot;;[Red](0.00&quot;R&quot;);-"/>
    <x:numFmt numFmtId="204" formatCode="0.000"/>
    <x:numFmt numFmtId="205" formatCode="[Red]&quot;¥&quot;#,##0.00;[Green](&quot;¥&quot;#,##0.00);-"/>
    <x:numFmt numFmtId="206" formatCode="[Red]0.00&quot;R&quot;;[Green](0.00&quot;R&quot;);-"/>
    <x:numFmt numFmtId="207" formatCode="[Red]0.00%;[Green](0.00%);-"/>
    <x:numFmt numFmtId="208" formatCode="yyyy-mm-dd"/>
    <x:numFmt numFmtId="209" formatCode="0.00%"/>
    <x:numFmt numFmtId="210" formatCode="0"/>
    <x:numFmt numFmtId="211" formatCode="@"/>
    <x:numFmt numFmtId="212" formatCode="#,##0.00"/>
    <x:numFmt numFmtId="213" formatCode="[Red]#,##0.00;[Green](#,##0.00);-"/>
  </x:numFmts>
  <x:fonts count="24">
    <x:font>
      <x:sz val="11"/>
      <x:name val="Carlito"/>
    </x:font>
    <x:font>
      <x:b/>
      <x:sz val="16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sz val="11"/>
      <x:color rgb="FF0000FF"/>
      <x:name val="Carlito"/>
    </x:font>
    <x:font>
      <x:b/>
      <x:sz val="11"/>
      <x:color rgb="FFC00000"/>
      <x:name val="Carlito"/>
    </x:font>
    <x:font>
      <x:b/>
      <x:sz val="10"/>
      <x:color rgb="FFFFFFFF"/>
      <x:name val="Aptos"/>
    </x:font>
    <x:font>
      <x:sz val="10"/>
      <x:color rgb="FF1F2937"/>
      <x:name val="Aptos"/>
    </x:font>
    <x:font>
      <x:sz val="10"/>
      <x:name val="Aptos"/>
    </x:font>
    <x:font>
      <x:b/>
      <x:sz val="10"/>
      <x:color rgb="FF1F2937"/>
      <x:name val="Aptos"/>
    </x:font>
    <x:font>
      <x:sz val="10"/>
      <x:color rgb="FF0000FF"/>
      <x:name val="Aptos"/>
    </x:font>
    <x:font>
      <x:b/>
      <x:sz val="10"/>
      <x:color rgb="FFC00000"/>
      <x:name val="Aptos"/>
    </x:font>
    <x:font>
      <x:b/>
      <x:sz val="13"/>
      <x:color rgb="FF1F2937"/>
      <x:name val="Carlito"/>
    </x:font>
    <x:font>
      <x:b/>
      <x:sz val="11"/>
      <x:name val="Carlito"/>
    </x:font>
    <x:font>
      <x:b/>
      <x:sz val="10"/>
      <x:name val="Aptos"/>
    </x:font>
    <x:font>
      <x:b/>
      <x:sz val="9"/>
      <x:color rgb="FFFFFFFF"/>
      <x:name val="Aptos"/>
    </x:font>
    <x:font>
      <x:sz val="9"/>
      <x:name val="Aptos"/>
    </x:font>
    <x:font>
      <x:b/>
      <x:sz val="9"/>
      <x:color rgb="FF1F2937"/>
      <x:name val="Aptos"/>
    </x:font>
    <x:font>
      <x:sz val="9"/>
      <x:color rgb="FF0000FF"/>
      <x:name val="Aptos"/>
    </x:font>
    <x:font>
      <x:b/>
      <x:sz val="9"/>
      <x:color rgb="FFC00000"/>
      <x:name val="Aptos"/>
    </x:font>
    <x:font>
      <x:sz val="11"/>
      <x:color rgb="FF008000"/>
      <x:name val="Carlito"/>
    </x:font>
    <x:font>
      <x:b/>
      <x:sz val="13"/>
      <x:color rgb="FFC00000"/>
      <x:name val="Carlito"/>
    </x:font>
    <x:font>
      <x:sz val="10"/>
      <x:color rgb="FF008000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DCE6F1"/>
      </x:patternFill>
    </x:fill>
    <x:fill>
      <x:patternFill patternType="solid">
        <x:fgColor rgb="FFFCE8E6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</x:fills>
  <x:borders count="12">
    <x:border/>
    <x:border>
      <x:left style="thin">
        <x:color rgb="FFB8C2CC"/>
      </x:left>
      <x:top style="thin">
        <x:color rgb="FFB8C2CC"/>
      </x:top>
    </x:border>
    <x:border>
      <x:right style="thin">
        <x:color rgb="FFB8C2CC"/>
      </x:right>
      <x:top style="thin">
        <x:color rgb="FFB8C2CC"/>
      </x:top>
    </x:border>
    <x:border>
      <x:left style="thin">
        <x:color rgb="FFB8C2CC"/>
      </x:left>
    </x:border>
    <x:border>
      <x:right style="thin">
        <x:color rgb="FFB8C2CC"/>
      </x:right>
    </x:border>
    <x:border>
      <x:left style="thin">
        <x:color rgb="FFB8C2CC"/>
      </x:left>
      <x:bottom style="thin">
        <x:color rgb="FFB8C2CC"/>
      </x:bottom>
    </x:border>
    <x:border>
      <x:right style="thin">
        <x:color rgb="FFB8C2CC"/>
      </x:right>
      <x:bottom style="thin">
        <x:color rgb="FFB8C2CC"/>
      </x:bottom>
    </x:border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left style="thin">
        <x:color rgb="FFB8C2CC"/>
      </x:left>
      <x:top style="thin">
        <x:color rgb="FFB8C2CC"/>
      </x:top>
      <x:bottom style="thin">
        <x:color rgb="FFB8C2CC"/>
      </x:bottom>
    </x:border>
    <x:border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left style="thin">
        <x:color rgb="FFB8C2CC"/>
      </x:left>
      <x:right style="thin">
        <x:color rgb="FFB8C2CC"/>
      </x:right>
      <x:bottom style="thin">
        <x:color rgb="FFB8C2CC"/>
      </x:bottom>
    </x:border>
    <x:border>
      <x:left style="thin">
        <x:color rgb="FFB8C2CC"/>
      </x:left>
      <x:right style="thin">
        <x:color rgb="FFB8C2CC"/>
      </x:right>
      <x:top style="thin">
        <x:color rgb="FFB8C2CC"/>
      </x:top>
    </x:border>
  </x:borders>
  <x:cellStyleXfs count="1">
    <x:xf numFmtId="0" fontId="0" fillId="0" borderId="0"/>
  </x:cellStyleXfs>
  <x:cellXfs count="2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right"/>
    </x:xf>
    <x:xf numFmtId="200" fontId="5" fillId="3" borderId="0" xfId="0" applyNumberFormat="1" applyFont="1" applyFill="1" applyBorder="1" applyAlignment="1">
      <x:alignment horizontal="right"/>
    </x:xf>
    <x:xf numFmtId="201" fontId="5" fillId="3" borderId="0" xfId="0" applyNumberFormat="1" applyFont="1" applyFill="1" applyBorder="1" applyAlignment="1">
      <x:alignment horizontal="right"/>
    </x:xf>
    <x:xf numFmtId="202" fontId="5" fillId="3" borderId="0" xfId="0" applyNumberFormat="1" applyFont="1" applyFill="1" applyBorder="1" applyAlignment="1">
      <x:alignment horizontal="right"/>
    </x:xf>
    <x:xf numFmtId="203" fontId="5" fillId="3" borderId="0" xfId="0" applyNumberFormat="1" applyFont="1" applyFill="1" applyBorder="1" applyAlignment="1">
      <x:alignment horizontal="right"/>
    </x:xf>
    <x:xf numFmtId="0" fontId="4" fillId="5" borderId="1" xfId="0" applyNumberFormat="1" applyFont="1" applyFill="1" applyBorder="1"/>
    <x:xf numFmtId="200" fontId="5" fillId="3" borderId="2" xfId="0" applyNumberFormat="1" applyFont="1" applyFill="1" applyBorder="1" applyAlignment="1">
      <x:alignment horizontal="right"/>
    </x:xf>
    <x:xf numFmtId="0" fontId="4" fillId="5" borderId="3" xfId="0" applyNumberFormat="1" applyFont="1" applyFill="1" applyBorder="1"/>
    <x:xf numFmtId="201" fontId="5" fillId="3" borderId="4" xfId="0" applyNumberFormat="1" applyFont="1" applyFill="1" applyBorder="1" applyAlignment="1">
      <x:alignment horizontal="right"/>
    </x:xf>
    <x:xf numFmtId="200" fontId="5" fillId="3" borderId="4" xfId="0" applyNumberFormat="1" applyFont="1" applyFill="1" applyBorder="1" applyAlignment="1">
      <x:alignment horizontal="right"/>
    </x:xf>
    <x:xf numFmtId="0" fontId="5" fillId="3" borderId="4" xfId="0" applyNumberFormat="1" applyFont="1" applyFill="1" applyBorder="1" applyAlignment="1">
      <x:alignment horizontal="right"/>
    </x:xf>
    <x:xf numFmtId="202" fontId="5" fillId="3" borderId="4" xfId="0" applyNumberFormat="1" applyFont="1" applyFill="1" applyBorder="1" applyAlignment="1">
      <x:alignment horizontal="right"/>
    </x:xf>
    <x:xf numFmtId="0" fontId="4" fillId="5" borderId="5" xfId="0" applyNumberFormat="1" applyFont="1" applyFill="1" applyBorder="1"/>
    <x:xf numFmtId="203" fontId="5" fillId="3" borderId="6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7" xfId="0" applyNumberFormat="1" applyFont="1" applyFill="1" applyBorder="1"/>
    <x:xf numFmtId="0" fontId="4" fillId="6" borderId="7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horizontal="center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204" fontId="5" fillId="3" borderId="0" xfId="0" applyNumberFormat="1" applyFont="1" applyFill="1" applyBorder="1"/>
    <x:xf numFmtId="204" fontId="0" fillId="0" borderId="0" xfId="0" applyNumberFormat="1" applyFont="1" applyFill="1" applyBorder="1"/>
    <x:xf numFmtId="200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5" fillId="3" borderId="7" xfId="0" applyNumberFormat="1" applyFont="1" applyFill="1" applyBorder="1"/>
    <x:xf numFmtId="204" fontId="5" fillId="3" borderId="7" xfId="0" applyNumberFormat="1" applyFont="1" applyFill="1" applyBorder="1"/>
    <x:xf numFmtId="204" fontId="0" fillId="0" borderId="7" xfId="0" applyNumberFormat="1" applyFont="1" applyFill="1" applyBorder="1"/>
    <x:xf numFmtId="200" fontId="0" fillId="0" borderId="7" xfId="0" applyNumberFormat="1" applyFont="1" applyFill="1" applyBorder="1"/>
    <x:xf numFmtId="205" fontId="0" fillId="0" borderId="7" xfId="0" applyNumberFormat="1" applyFont="1" applyFill="1" applyBorder="1"/>
    <x:xf numFmtId="206" fontId="0" fillId="0" borderId="7" xfId="0" applyNumberFormat="1" applyFont="1" applyFill="1" applyBorder="1"/>
    <x:xf numFmtId="202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 vertical="center"/>
    </x:xf>
    <x:xf numFmtId="0" fontId="10" fillId="5" borderId="1" xfId="0" applyNumberFormat="1" applyFont="1" applyFill="1" applyBorder="1"/>
    <x:xf numFmtId="200" fontId="11" fillId="3" borderId="2" xfId="0" applyNumberFormat="1" applyFont="1" applyFill="1" applyBorder="1" applyAlignment="1">
      <x:alignment horizontal="right"/>
    </x:xf>
    <x:xf numFmtId="0" fontId="10" fillId="6" borderId="7" xfId="0" applyNumberFormat="1" applyFont="1" applyFill="1" applyBorder="1" applyAlignment="1">
      <x:alignment horizontal="center" vertical="center" wrapText="1"/>
    </x:xf>
    <x:xf numFmtId="0" fontId="10" fillId="5" borderId="3" xfId="0" applyNumberFormat="1" applyFont="1" applyFill="1" applyBorder="1"/>
    <x:xf numFmtId="201" fontId="11" fillId="3" borderId="4" xfId="0" applyNumberFormat="1" applyFont="1" applyFill="1" applyBorder="1" applyAlignment="1">
      <x:alignment horizontal="right"/>
    </x:xf>
    <x:xf numFmtId="0" fontId="9" fillId="0" borderId="7" xfId="0" applyNumberFormat="1" applyFont="1" applyFill="1" applyBorder="1"/>
    <x:xf numFmtId="0" fontId="11" fillId="3" borderId="7" xfId="0" applyNumberFormat="1" applyFont="1" applyFill="1" applyBorder="1"/>
    <x:xf numFmtId="204" fontId="11" fillId="3" borderId="7" xfId="0" applyNumberFormat="1" applyFont="1" applyFill="1" applyBorder="1"/>
    <x:xf numFmtId="204" fontId="9" fillId="0" borderId="7" xfId="0" applyNumberFormat="1" applyFont="1" applyFill="1" applyBorder="1"/>
    <x:xf numFmtId="200" fontId="9" fillId="0" borderId="7" xfId="0" applyNumberFormat="1" applyFont="1" applyFill="1" applyBorder="1"/>
    <x:xf numFmtId="205" fontId="9" fillId="0" borderId="7" xfId="0" applyNumberFormat="1" applyFont="1" applyFill="1" applyBorder="1"/>
    <x:xf numFmtId="206" fontId="9" fillId="0" borderId="7" xfId="0" applyNumberFormat="1" applyFont="1" applyFill="1" applyBorder="1"/>
    <x:xf numFmtId="202" fontId="9" fillId="0" borderId="7" xfId="0" applyNumberFormat="1" applyFont="1" applyFill="1" applyBorder="1"/>
    <x:xf numFmtId="200" fontId="11" fillId="3" borderId="4" xfId="0" applyNumberFormat="1" applyFont="1" applyFill="1" applyBorder="1" applyAlignment="1">
      <x:alignment horizontal="right"/>
    </x:xf>
    <x:xf numFmtId="0" fontId="11" fillId="3" borderId="4" xfId="0" applyNumberFormat="1" applyFont="1" applyFill="1" applyBorder="1" applyAlignment="1">
      <x:alignment horizontal="right"/>
    </x:xf>
    <x:xf numFmtId="202" fontId="11" fillId="3" borderId="4" xfId="0" applyNumberFormat="1" applyFont="1" applyFill="1" applyBorder="1" applyAlignment="1">
      <x:alignment horizontal="right"/>
    </x:xf>
    <x:xf numFmtId="0" fontId="12" fillId="7" borderId="0" xfId="0" applyNumberFormat="1" applyFont="1" applyFill="1" applyBorder="1" applyAlignment="1">
      <x:alignment vertical="center" wrapText="1"/>
    </x:xf>
    <x:xf numFmtId="0" fontId="10" fillId="5" borderId="5" xfId="0" applyNumberFormat="1" applyFont="1" applyFill="1" applyBorder="1"/>
    <x:xf numFmtId="203" fontId="11" fillId="3" borderId="6" xfId="0" applyNumberFormat="1" applyFont="1" applyFill="1" applyBorder="1" applyAlignment="1">
      <x:alignment horizontal="right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8" xfId="0" applyNumberFormat="1" applyFont="1" applyFill="1" applyBorder="1"/>
    <x:xf numFmtId="0" fontId="13" fillId="9" borderId="9" xfId="0" applyNumberFormat="1" applyFont="1" applyFill="1" applyBorder="1"/>
    <x:xf numFmtId="200" fontId="13" fillId="9" borderId="8" xfId="0" applyNumberFormat="1" applyFont="1" applyFill="1" applyBorder="1"/>
    <x:xf numFmtId="200" fontId="13" fillId="9" borderId="9" xfId="0" applyNumberFormat="1" applyFont="1" applyFill="1" applyBorder="1"/>
    <x:xf numFmtId="200" fontId="13" fillId="9" borderId="8" xfId="0" applyNumberFormat="1" applyFont="1" applyFill="1" applyBorder="1" applyAlignment="1">
      <x:alignment horizontal="center"/>
    </x:xf>
    <x:xf numFmtId="200" fontId="13" fillId="9" borderId="9" xfId="0" applyNumberFormat="1" applyFont="1" applyFill="1" applyBorder="1" applyAlignment="1">
      <x:alignment horizontal="center"/>
    </x:xf>
    <x:xf numFmtId="202" fontId="13" fillId="9" borderId="8" xfId="0" applyNumberFormat="1" applyFont="1" applyFill="1" applyBorder="1"/>
    <x:xf numFmtId="202" fontId="13" fillId="9" borderId="9" xfId="0" applyNumberFormat="1" applyFont="1" applyFill="1" applyBorder="1"/>
    <x:xf numFmtId="202" fontId="13" fillId="9" borderId="8" xfId="0" applyNumberFormat="1" applyFont="1" applyFill="1" applyBorder="1" applyAlignment="1">
      <x:alignment horizontal="center"/>
    </x:xf>
    <x:xf numFmtId="202" fontId="13" fillId="9" borderId="9" xfId="0" applyNumberFormat="1" applyFont="1" applyFill="1" applyBorder="1" applyAlignment="1">
      <x:alignment horizontal="center"/>
    </x:xf>
    <x:xf numFmtId="205" fontId="13" fillId="9" borderId="8" xfId="0" applyNumberFormat="1" applyFont="1" applyFill="1" applyBorder="1" applyAlignment="1">
      <x:alignment horizontal="center"/>
    </x:xf>
    <x:xf numFmtId="205" fontId="13" fillId="9" borderId="9" xfId="0" applyNumberFormat="1" applyFont="1" applyFill="1" applyBorder="1" applyAlignment="1">
      <x:alignment horizontal="center"/>
    </x:xf>
    <x:xf numFmtId="207" fontId="13" fillId="9" borderId="8" xfId="0" applyNumberFormat="1" applyFont="1" applyFill="1" applyBorder="1" applyAlignment="1">
      <x:alignment horizontal="center"/>
    </x:xf>
    <x:xf numFmtId="207" fontId="13" fillId="9" borderId="9" xfId="0" applyNumberFormat="1" applyFont="1" applyFill="1" applyBorder="1" applyAlignment="1">
      <x:alignment horizontal="center"/>
    </x:xf>
    <x:xf numFmtId="207" fontId="0" fillId="0" borderId="0" xfId="0" applyNumberFormat="1" applyFont="1" applyFill="1" applyBorder="1"/>
    <x:xf numFmtId="203" fontId="0" fillId="0" borderId="0" xfId="0" applyNumberFormat="1" applyFont="1" applyFill="1" applyBorder="1"/>
    <x:xf numFmtId="207" fontId="0" fillId="0" borderId="7" xfId="0" applyNumberFormat="1" applyFont="1" applyFill="1" applyBorder="1"/>
    <x:xf numFmtId="203" fontId="0" fillId="0" borderId="7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/>
    </x:xf>
    <x:xf numFmtId="200" fontId="10" fillId="9" borderId="8" xfId="0" applyNumberFormat="1" applyFont="1" applyFill="1" applyBorder="1" applyAlignment="1">
      <x:alignment horizontal="center"/>
    </x:xf>
    <x:xf numFmtId="200" fontId="10" fillId="9" borderId="9" xfId="0" applyNumberFormat="1" applyFont="1" applyFill="1" applyBorder="1" applyAlignment="1">
      <x:alignment horizontal="center"/>
    </x:xf>
    <x:xf numFmtId="202" fontId="10" fillId="9" borderId="8" xfId="0" applyNumberFormat="1" applyFont="1" applyFill="1" applyBorder="1" applyAlignment="1">
      <x:alignment horizontal="center"/>
    </x:xf>
    <x:xf numFmtId="202" fontId="10" fillId="9" borderId="9" xfId="0" applyNumberFormat="1" applyFont="1" applyFill="1" applyBorder="1" applyAlignment="1">
      <x:alignment horizontal="center"/>
    </x:xf>
    <x:xf numFmtId="205" fontId="10" fillId="9" borderId="8" xfId="0" applyNumberFormat="1" applyFont="1" applyFill="1" applyBorder="1" applyAlignment="1">
      <x:alignment horizontal="center"/>
    </x:xf>
    <x:xf numFmtId="205" fontId="10" fillId="9" borderId="9" xfId="0" applyNumberFormat="1" applyFont="1" applyFill="1" applyBorder="1" applyAlignment="1">
      <x:alignment horizontal="center"/>
    </x:xf>
    <x:xf numFmtId="207" fontId="10" fillId="9" borderId="8" xfId="0" applyNumberFormat="1" applyFont="1" applyFill="1" applyBorder="1" applyAlignment="1">
      <x:alignment horizontal="center"/>
    </x:xf>
    <x:xf numFmtId="207" fontId="10" fillId="9" borderId="9" xfId="0" applyNumberFormat="1" applyFont="1" applyFill="1" applyBorder="1" applyAlignment="1">
      <x:alignment horizontal="center"/>
    </x:xf>
    <x:xf numFmtId="207" fontId="9" fillId="0" borderId="7" xfId="0" applyNumberFormat="1" applyFont="1" applyFill="1" applyBorder="1"/>
    <x:xf numFmtId="203" fontId="9" fillId="0" borderId="7" xfId="0" applyNumberFormat="1" applyFont="1" applyFill="1" applyBorder="1"/>
    <x:xf numFmtId="0" fontId="10" fillId="5" borderId="6" xfId="0" applyNumberFormat="1" applyFont="1" applyFill="1" applyBorder="1" applyAlignment="1">
      <x:alignment vertical="top"/>
    </x:xf>
    <x:xf numFmtId="0" fontId="9" fillId="0" borderId="10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10" fillId="5" borderId="9" xfId="0" applyNumberFormat="1" applyFont="1" applyFill="1" applyBorder="1" applyAlignment="1">
      <x:alignment vertical="top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10" fillId="5" borderId="2" xfId="0" applyNumberFormat="1" applyFont="1" applyFill="1" applyBorder="1" applyAlignment="1">
      <x:alignment vertical="top"/>
    </x:xf>
    <x:xf numFmtId="0" fontId="9" fillId="0" borderId="1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wrapText="1"/>
    </x:xf>
    <x:xf numFmtId="0" fontId="0" fillId="10" borderId="7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0" fontId="14" fillId="0" borderId="7" xfId="0" applyNumberFormat="1" applyFont="1" applyFill="1" applyBorder="1" applyAlignment="1">
      <x:alignment wrapText="1"/>
    </x:xf>
    <x:xf numFmtId="0" fontId="9" fillId="10" borderId="7" xfId="0" applyNumberFormat="1" applyFont="1" applyFill="1" applyBorder="1" applyAlignment="1">
      <x:alignment wrapText="1"/>
    </x:xf>
    <x:xf numFmtId="0" fontId="15" fillId="0" borderId="7" xfId="0" applyNumberFormat="1" applyFont="1" applyFill="1" applyBorder="1" applyAlignment="1">
      <x:alignment wrapText="1"/>
    </x:xf>
    <x:xf numFmtId="0" fontId="9" fillId="0" borderId="7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/>
    <x:xf numFmtId="208" fontId="5" fillId="0" borderId="0" xfId="0" applyNumberFormat="1" applyFont="1" applyFill="1" applyBorder="1"/>
    <x:xf numFmtId="205" fontId="5" fillId="0" borderId="0" xfId="0" applyNumberFormat="1" applyFont="1" applyFill="1" applyBorder="1"/>
    <x:xf numFmtId="206" fontId="5" fillId="0" borderId="0" xfId="0" applyNumberFormat="1" applyFont="1" applyFill="1" applyBorder="1"/>
    <x:xf numFmtId="207" fontId="5" fillId="0" borderId="0" xfId="0" applyNumberFormat="1" applyFont="1" applyFill="1" applyBorder="1"/>
    <x:xf numFmtId="208" fontId="0" fillId="0" borderId="7" xfId="0" applyNumberFormat="1" applyFont="1" applyFill="1" applyBorder="1"/>
    <x:xf numFmtId="204" fontId="5" fillId="0" borderId="7" xfId="0" applyNumberFormat="1" applyFont="1" applyFill="1" applyBorder="1"/>
    <x:xf numFmtId="0" fontId="5" fillId="0" borderId="7" xfId="0" applyNumberFormat="1" applyFont="1" applyFill="1" applyBorder="1"/>
    <x:xf numFmtId="208" fontId="5" fillId="0" borderId="7" xfId="0" applyNumberFormat="1" applyFont="1" applyFill="1" applyBorder="1"/>
    <x:xf numFmtId="205" fontId="5" fillId="0" borderId="7" xfId="0" applyNumberFormat="1" applyFont="1" applyFill="1" applyBorder="1"/>
    <x:xf numFmtId="206" fontId="5" fillId="0" borderId="7" xfId="0" applyNumberFormat="1" applyFont="1" applyFill="1" applyBorder="1"/>
    <x:xf numFmtId="207" fontId="5" fillId="0" borderId="7" xfId="0" applyNumberFormat="1" applyFont="1" applyFill="1" applyBorder="1"/>
    <x:xf numFmtId="0" fontId="16" fillId="2" borderId="0" xfId="0" applyNumberFormat="1" applyFont="1" applyFill="1" applyBorder="1" applyAlignment="1">
      <x:alignment horizontal="left" vertical="center"/>
    </x:xf>
    <x:xf numFmtId="0" fontId="17" fillId="8" borderId="0" xfId="0" applyNumberFormat="1" applyFont="1" applyFill="1" applyBorder="1" applyAlignment="1">
      <x:alignment wrapText="1"/>
    </x:xf>
    <x:xf numFmtId="0" fontId="17" fillId="0" borderId="0" xfId="0" applyNumberFormat="1" applyFont="1" applyFill="1" applyBorder="1"/>
    <x:xf numFmtId="0" fontId="18" fillId="6" borderId="7" xfId="0" applyNumberFormat="1" applyFont="1" applyFill="1" applyBorder="1" applyAlignment="1">
      <x:alignment horizontal="center" vertical="center" wrapText="1"/>
    </x:xf>
    <x:xf numFmtId="0" fontId="17" fillId="0" borderId="7" xfId="0" applyNumberFormat="1" applyFont="1" applyFill="1" applyBorder="1"/>
    <x:xf numFmtId="208" fontId="17" fillId="0" borderId="7" xfId="0" applyNumberFormat="1" applyFont="1" applyFill="1" applyBorder="1"/>
    <x:xf numFmtId="204" fontId="19" fillId="0" borderId="7" xfId="0" applyNumberFormat="1" applyFont="1" applyFill="1" applyBorder="1"/>
    <x:xf numFmtId="0" fontId="19" fillId="0" borderId="7" xfId="0" applyNumberFormat="1" applyFont="1" applyFill="1" applyBorder="1"/>
    <x:xf numFmtId="200" fontId="17" fillId="0" borderId="7" xfId="0" applyNumberFormat="1" applyFont="1" applyFill="1" applyBorder="1"/>
    <x:xf numFmtId="0" fontId="19" fillId="3" borderId="7" xfId="0" applyNumberFormat="1" applyFont="1" applyFill="1" applyBorder="1"/>
    <x:xf numFmtId="208" fontId="19" fillId="0" borderId="7" xfId="0" applyNumberFormat="1" applyFont="1" applyFill="1" applyBorder="1"/>
    <x:xf numFmtId="205" fontId="19" fillId="0" borderId="7" xfId="0" applyNumberFormat="1" applyFont="1" applyFill="1" applyBorder="1"/>
    <x:xf numFmtId="206" fontId="19" fillId="0" borderId="7" xfId="0" applyNumberFormat="1" applyFont="1" applyFill="1" applyBorder="1"/>
    <x:xf numFmtId="207" fontId="19" fillId="0" borderId="7" xfId="0" applyNumberFormat="1" applyFont="1" applyFill="1" applyBorder="1"/>
    <x:xf numFmtId="0" fontId="19" fillId="0" borderId="0" xfId="0" applyNumberFormat="1" applyFont="1" applyFill="1" applyBorder="1"/>
    <x:xf numFmtId="0" fontId="19" fillId="3" borderId="0" xfId="0" applyNumberFormat="1" applyFont="1" applyFill="1" applyBorder="1"/>
    <x:xf numFmtId="208" fontId="19" fillId="0" borderId="0" xfId="0" applyNumberFormat="1" applyFont="1" applyFill="1" applyBorder="1"/>
    <x:xf numFmtId="204" fontId="19" fillId="0" borderId="0" xfId="0" applyNumberFormat="1" applyFont="1" applyFill="1" applyBorder="1"/>
    <x:xf numFmtId="205" fontId="19" fillId="0" borderId="0" xfId="0" applyNumberFormat="1" applyFont="1" applyFill="1" applyBorder="1"/>
    <x:xf numFmtId="206" fontId="19" fillId="0" borderId="0" xfId="0" applyNumberFormat="1" applyFont="1" applyFill="1" applyBorder="1"/>
    <x:xf numFmtId="207" fontId="19" fillId="0" borderId="0" xfId="0" applyNumberFormat="1" applyFont="1" applyFill="1" applyBorder="1"/>
    <x:xf numFmtId="209" fontId="0" fillId="0" borderId="0" xfId="0" applyNumberFormat="1" applyFont="1" applyFill="1" applyBorder="1"/>
    <x:xf numFmtId="209" fontId="0" fillId="0" borderId="7" xfId="0" applyNumberFormat="1" applyFont="1" applyFill="1" applyBorder="1"/>
    <x:xf numFmtId="209" fontId="0" fillId="0" borderId="7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horizontal="center" wrapText="1"/>
    </x:xf>
    <x:xf numFmtId="0" fontId="17" fillId="0" borderId="7" xfId="0" applyNumberFormat="1" applyFont="1" applyFill="1" applyBorder="1" applyAlignment="1">
      <x:alignment wrapText="1"/>
    </x:xf>
    <x:xf numFmtId="209" fontId="17" fillId="0" borderId="7" xfId="0" applyNumberFormat="1" applyFont="1" applyFill="1" applyBorder="1" applyAlignment="1">
      <x:alignment wrapText="1"/>
    </x:xf>
    <x:xf numFmtId="0" fontId="20" fillId="7" borderId="7" xfId="0" applyNumberFormat="1" applyFont="1" applyFill="1" applyBorder="1" applyAlignment="1">
      <x:alignment horizontal="center" wrapText="1"/>
    </x:xf>
    <x:xf numFmtId="207" fontId="0" fillId="0" borderId="7" xfId="0" applyNumberFormat="1" applyFont="1" applyFill="1" applyBorder="1" applyAlignment="1">
      <x:alignment wrapText="1"/>
    </x:xf>
    <x:xf numFmtId="204" fontId="0" fillId="0" borderId="7" xfId="0" applyNumberFormat="1" applyFont="1" applyFill="1" applyBorder="1" applyAlignment="1">
      <x:alignment wrapText="1"/>
    </x:xf>
    <x:xf numFmtId="203" fontId="0" fillId="0" borderId="7" xfId="0" applyNumberFormat="1" applyFont="1" applyFill="1" applyBorder="1" applyAlignment="1">
      <x:alignment wrapText="1"/>
    </x:xf>
    <x:xf numFmtId="207" fontId="17" fillId="0" borderId="7" xfId="0" applyNumberFormat="1" applyFont="1" applyFill="1" applyBorder="1" applyAlignment="1">
      <x:alignment wrapText="1"/>
    </x:xf>
    <x:xf numFmtId="204" fontId="17" fillId="0" borderId="7" xfId="0" applyNumberFormat="1" applyFont="1" applyFill="1" applyBorder="1" applyAlignment="1">
      <x:alignment wrapText="1"/>
    </x:xf>
    <x:xf numFmtId="203" fontId="17" fillId="0" borderId="7" xfId="0" applyNumberFormat="1" applyFont="1" applyFill="1" applyBorder="1" applyAlignment="1">
      <x:alignment wrapText="1"/>
    </x:xf>
    <x:xf numFmtId="0" fontId="21" fillId="0" borderId="7" xfId="0" applyNumberFormat="1" applyFont="1" applyFill="1" applyBorder="1"/>
    <x:xf numFmtId="0" fontId="21" fillId="0" borderId="7" xfId="0" applyNumberFormat="1" applyFont="1" applyFill="1" applyBorder="1" applyAlignment="1">
      <x:alignment wrapText="1"/>
    </x:xf>
    <x:xf numFmtId="210" fontId="0" fillId="0" borderId="7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right"/>
    </x:xf>
    <x:xf numFmtId="0" fontId="22" fillId="7" borderId="0" xfId="0" applyNumberFormat="1" applyFont="1" applyFill="1" applyBorder="1"/>
    <x:xf numFmtId="0" fontId="22" fillId="7" borderId="0" xfId="0" applyNumberFormat="1" applyFont="1" applyFill="1" applyBorder="1" applyAlignment="1">
      <x:alignment horizontal="center"/>
    </x:xf>
    <x:xf numFmtId="0" fontId="23" fillId="0" borderId="7" xfId="0" applyNumberFormat="1" applyFont="1" applyFill="1" applyBorder="1" applyAlignment="1">
      <x:alignment wrapText="1"/>
    </x:xf>
    <x:xf numFmtId="210" fontId="9" fillId="0" borderId="7" xfId="0" applyNumberFormat="1" applyFont="1" applyFill="1" applyBorder="1"/>
    <x:xf numFmtId="0" fontId="7" fillId="2" borderId="0" xfId="0" applyNumberFormat="1" applyFont="1" applyFill="1" applyBorder="1" applyAlignment="1">
      <x:alignment horizontal="right"/>
    </x:xf>
    <x:xf numFmtId="0" fontId="12" fillId="7" borderId="0" xfId="0" applyNumberFormat="1" applyFont="1" applyFill="1" applyBorder="1" applyAlignment="1">
      <x:alignment horizontal="center"/>
    </x:xf>
    <x:xf numFmtId="208" fontId="17" fillId="0" borderId="0" xfId="0" applyNumberFormat="1" applyFont="1" applyFill="1" applyBorder="1"/>
    <x:xf numFmtId="209" fontId="9" fillId="0" borderId="7" xfId="0" applyNumberFormat="1" applyFont="1" applyFill="1" applyBorder="1"/>
    <x:xf numFmtId="211" fontId="9" fillId="0" borderId="7" xfId="0" applyNumberFormat="1" applyFont="1" applyFill="1" applyBorder="1"/>
    <x:xf numFmtId="211" fontId="9" fillId="0" borderId="0" xfId="0" applyNumberFormat="1" applyFont="1" applyFill="1" applyBorder="1"/>
    <x:xf numFmtId="204" fontId="9" fillId="0" borderId="0" xfId="0" applyNumberFormat="1" applyFont="1" applyFill="1" applyBorder="1"/>
    <x:xf numFmtId="212" fontId="9" fillId="0" borderId="7" xfId="0" applyNumberFormat="1" applyFont="1" applyFill="1" applyBorder="1"/>
    <x:xf numFmtId="212" fontId="9" fillId="0" borderId="0" xfId="0" applyNumberFormat="1" applyFont="1" applyFill="1" applyBorder="1"/>
    <x:xf numFmtId="213" fontId="9" fillId="0" borderId="7" xfId="0" applyNumberFormat="1" applyFont="1" applyFill="1" applyBorder="1"/>
    <x:xf numFmtId="213" fontId="9" fillId="0" borderId="0" xfId="0" applyNumberFormat="1" applyFont="1" applyFill="1" applyBorder="1"/>
    <x:xf numFmtId="209" fontId="9" fillId="0" borderId="0" xfId="0" applyNumberFormat="1" applyFont="1" applyFill="1" applyBorder="1"/>
    <x:xf numFmtId="212" fontId="17" fillId="0" borderId="0" xfId="0" applyNumberFormat="1" applyFont="1" applyFill="1" applyBorder="1"/>
    <x:xf numFmtId="209" fontId="17" fillId="0" borderId="0" xfId="0" applyNumberFormat="1" applyFont="1" applyFill="1" applyBorder="1"/>
    <x:xf numFmtId="207" fontId="17" fillId="0" borderId="0" xfId="0" applyNumberFormat="1" applyFont="1" applyFill="1" applyBorder="1"/>
    <x:xf numFmtId="213" fontId="19" fillId="0" borderId="0" xfId="0" applyNumberFormat="1" applyFont="1" applyFill="1" applyBorder="1"/>
  </x:cellXfs>
  <x:cellStyles count="1">
    <x:cellStyle name="Normal" xfId="0"/>
  </x:cellStyles>
  <x:dxfs count="33">
    <x:dxf>
      <x:font>
        <x:color rgb="FFC00000"/>
      </x:font>
    </x:dxf>
    <x:dxf>
      <x:font>
        <x:color rgb="FF008000"/>
      </x:font>
    </x:dxf>
    <x:dxf>
      <x:font>
        <x:color rgb="FFC00000"/>
      </x:font>
    </x:dxf>
    <x:dxf>
      <x:font>
        <x:color rgb="FF008000"/>
      </x:font>
    </x:dxf>
    <x:dxf>
      <x:font>
        <x:color rgb="FFC00000"/>
      </x:font>
    </x:dxf>
    <x:dxf>
      <x:font>
        <x:color rgb="FF008000"/>
      </x:font>
    </x:dxf>
    <x:dxf>
      <x:font>
        <x:color rgb="FFC00000"/>
      </x:font>
    </x:dxf>
    <x:dxf>
      <x:font>
        <x:color rgb="FF008000"/>
      </x:font>
    </x:dxf>
    <x:dxf>
      <x:font>
        <x:color rgb="FFC00000"/>
      </x:font>
    </x:dxf>
    <x:dxf>
      <x:font>
        <x:color rgb="FF008000"/>
      </x:font>
    </x:dxf>
    <x:dxf>
      <x:font>
        <x:b/>
        <x:color rgb="FF008000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8E6"/>
        </x:patternFill>
      </x:fill>
    </x:dxf>
    <x:dxf>
      <x:font>
        <x:b/>
        <x:color rgb="FFC00000"/>
      </x:font>
      <x:fill>
        <x:patternFill>
          <x:bgColor rgb="FFFFF2CC"/>
        </x:patternFill>
      </x:fill>
    </x:dxf>
    <x:dxf>
      <x:font>
        <x:color rgb="FFC00000"/>
      </x:font>
    </x:dxf>
    <x:dxf>
      <x:font>
        <x:color rgb="FF008000"/>
      </x:font>
    </x:dxf>
    <x:dxf>
      <x:font>
        <x:color rgb="FFC00000"/>
      </x:font>
    </x:dxf>
    <x:dxf>
      <x:font>
        <x:color rgb="FF008000"/>
      </x:font>
    </x:dxf>
    <x:dxf>
      <x:font>
        <x:b/>
        <x:color rgb="FFC00000"/>
      </x:font>
      <x:fill>
        <x:patternFill>
          <x:bgColor rgb="FFFCE8E6"/>
        </x:patternFill>
      </x:fill>
    </x:dxf>
    <x:dxf>
      <x:font>
        <x:b/>
        <x:color rgb="FF008000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8E6"/>
        </x:patternFill>
      </x:fill>
    </x:dxf>
    <x:dxf>
      <x:font>
        <x:b/>
        <x:color rgb="FFC00000"/>
      </x:font>
      <x:fill>
        <x:patternFill>
          <x:bgColor rgb="FFFFF2CC"/>
        </x:patternFill>
      </x:fill>
    </x:dxf>
    <x:dxf>
      <x:font>
        <x:color rgb="FFC00000"/>
      </x:font>
    </x:dxf>
    <x:dxf>
      <x:font>
        <x:color rgb="FF008000"/>
      </x:font>
    </x:dxf>
    <x:dxf>
      <x:font>
        <x:color rgb="FFC00000"/>
      </x:font>
    </x:dxf>
    <x:dxf>
      <x:font>
        <x:color rgb="FF008000"/>
      </x:font>
    </x:dxf>
    <x:dxf>
      <x:font>
        <x:color rgb="FFC00000"/>
      </x:font>
    </x:dxf>
    <x:dxf>
      <x:font>
        <x:color rgb="FF008000"/>
      </x:font>
    </x:dxf>
    <x:dxf>
      <x:font>
        <x:color rgb="FFC00000"/>
      </x:font>
    </x:dxf>
    <x:dxf>
      <x:font>
        <x:color rgb="FF008000"/>
      </x:font>
    </x:dxf>
    <x:dxf>
      <x:font>
        <x:color rgb="FFC00000"/>
      </x:font>
    </x:dxf>
    <x:dxf>
      <x:font>
        <x:color rgb="FF008000"/>
      </x:font>
    </x:dxf>
    <x:dxf>
      <x:font>
        <x:color rgb="FFC00000"/>
      </x:font>
    </x:dxf>
    <x:dxf>
      <x:font>
        <x:color rgb="FF008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4ba10ff00641a4" /><Relationship Type="http://schemas.openxmlformats.org/officeDocument/2006/relationships/theme" Target="/xl/theme/theme1.xml" Id="R5bd52b5fb20141c8" /><Relationship Type="http://schemas.openxmlformats.org/officeDocument/2006/relationships/sharedStrings" Target="/xl/sharedStrings.xml" Id="R1cf460284ccf447b" /><Relationship Type="http://schemas.openxmlformats.org/officeDocument/2006/relationships/worksheet" Target="/xl/worksheets/sheet1.xml" Id="R950bddd32f324827" /><Relationship Type="http://schemas.openxmlformats.org/officeDocument/2006/relationships/worksheet" Target="/xl/worksheets/sheet2.xml" Id="R56b727cf3db1463a" /><Relationship Type="http://schemas.openxmlformats.org/officeDocument/2006/relationships/worksheet" Target="/xl/worksheets/sheet3.xml" Id="R82949ef523c54b18" /><Relationship Type="http://schemas.openxmlformats.org/officeDocument/2006/relationships/worksheet" Target="/xl/worksheets/sheet4.xml" Id="R129f21aae74243a1" /><Relationship Type="http://schemas.openxmlformats.org/officeDocument/2006/relationships/worksheet" Target="/xl/worksheets/sheet5.xml" Id="R2cfe2881eb224ad6" /><Relationship Type="http://schemas.openxmlformats.org/officeDocument/2006/relationships/worksheet" Target="/xl/worksheets/sheet6.xml" Id="Rd51799a5c9c64ba1" /><Relationship Type="http://schemas.openxmlformats.org/officeDocument/2006/relationships/worksheet" Target="/xl/worksheets/sheet7.xml" Id="Rf06c9dc207c24bed" /><Relationship Type="http://schemas.microsoft.com/office/2017/10/relationships/person" Target="/xl/persons/person.xml" Id="Rb8164e3278df4aad" /></Relationships>
</file>

<file path=xl/persons/person.xml><?xml version="1.0" encoding="utf-8"?>
<xltc:personList xmlns:xltc="http://schemas.microsoft.com/office/spreadsheetml/2018/threadedcomments">
  <xltc:person displayName="User" id="{E6B89AD4-1517-4D6A-81F5-0DFD7B1B93E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8" dT="2026-09-03T02:15:23.819" personId="{E6B89AD4-1517-4D6A-81F5-0DFD7B1B93E8}" id="{D91A228B-A9AE-4B9D-9C98-A1762C1DC0F7}">
    <xltc:text>Source: https://hq.sinajs.cn/list=sz000925; observed 2026-09-03 10:08:27+08:00.</xltc:text>
  </xltc:threadedComment>
  <xltc:threadedComment ref="E9" dT="2026-09-03T02:15:23.82" personId="{E6B89AD4-1517-4D6A-81F5-0DFD7B1B93E8}" id="{5DCE7769-82BB-453A-9CBF-D1F407E4E475}">
    <xltc:text>Source: https://hq.sinajs.cn/list=sh601212; observed 2026-09-03 10:08:27+08:00.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F6" dT="2026-09-03T02:15:23.82" personId="{E6B89AD4-1517-4D6A-81F5-0DFD7B1B93E8}" id="{0931E631-9A16-4D61-BEBC-3A4E3C64DF28}">
    <xltc:text>以2026-09-03 10:08:27盘中价8.68评估；盘中价格会变化。</xltc:text>
  </xltc:threadedComment>
  <xltc:threadedComment ref="F7" dT="2026-09-03T02:15:23.82" personId="{E6B89AD4-1517-4D6A-81F5-0DFD7B1B93E8}" id="{24B9C74E-3429-4FA2-BB3F-5D20FD5A14F8}">
    <xltc:text>以2026-09-03 10:08:27盘中价6.93评估；盘中价格会变化。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15f2209fe5d4294" /><Relationship Type="http://schemas.openxmlformats.org/officeDocument/2006/relationships/vmlDrawing" Target="/xl/drawings/vmldrawing.vml" Id="Rce6ee9d6b85145ce" /><Relationship Type="http://schemas.microsoft.com/office/2017/10/relationships/threadedComment" Target="/xl/threadedcomments/threadedcomment.xml" Id="R4571cf43809c49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2dc63c97c7a04451" /><Relationship Type="http://schemas.openxmlformats.org/officeDocument/2006/relationships/vmlDrawing" Target="/xl/drawings/vmldrawing2.vml" Id="Rb32c87a5fee349b2" /><Relationship Type="http://schemas.microsoft.com/office/2017/10/relationships/threadedComment" Target="/xl/threadedcomments/threadedcomment2.xml" Id="R45d62844d27247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9" hidden="0" customWidth="1"/>
    <x:col min="4" max="4" width="11" hidden="0" customWidth="1"/>
    <x:col min="5" max="5" width="11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13" hidden="0" customWidth="1"/>
    <x:col min="12" max="12" width="13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2" customHeight="1">
      <x:c r="A1" s="53" t="str">
        <x:v>A股超短持仓与风险总览</x:v>
      </x:c>
      <x:c r="B1" s="53" t="str">
        <x:v>A股超短持仓与风险总览</x:v>
      </x:c>
      <x:c r="C1" s="53" t="str">
        <x:v>A股超短持仓与风险总览</x:v>
      </x:c>
      <x:c r="D1" s="53" t="str">
        <x:v>A股超短持仓与风险总览</x:v>
      </x:c>
      <x:c r="E1" s="53" t="str">
        <x:v>A股超短持仓与风险总览</x:v>
      </x:c>
      <x:c r="F1" s="53" t="str">
        <x:v>A股超短持仓与风险总览</x:v>
      </x:c>
      <x:c r="G1" s="53" t="str">
        <x:v>A股超短持仓与风险总览</x:v>
      </x:c>
      <x:c r="H1" s="53" t="str">
        <x:v>A股超短持仓与风险总览</x:v>
      </x:c>
      <x:c r="I1" s="53" t="str">
        <x:v>A股超短持仓与风险总览</x:v>
      </x:c>
      <x:c r="J1" s="53" t="str">
        <x:v>A股超短持仓与风险总览</x:v>
      </x:c>
      <x:c r="K1" s="53" t="str">
        <x:v>A股超短持仓与风险总览</x:v>
      </x:c>
      <x:c r="L1" s="53" t="str">
        <x:v>A股超短持仓与风险总览</x:v>
      </x:c>
      <x:c r="M1" s="53" t="str">
        <x:v>A股超短持仓与风险总览</x:v>
      </x:c>
      <x:c r="N1" s="53" t="str">
        <x:v>A股超短持仓与风险总览</x:v>
      </x:c>
      <x:c r="O1" s="53" t="str">
        <x:v>A股超短持仓与风险总览</x:v>
      </x:c>
      <x:c r="P1" s="53" t="str">
        <x:v>A股超短持仓与风险总览</x:v>
      </x:c>
      <x:c r="Q1" s="53" t="str">
        <x:v>A股超短持仓与风险总览</x:v>
      </x:c>
    </x:row>
    <x:row r="2">
      <x:c r="A2" s="112" t="str">
        <x:v>9月7日10:41成交补充：山东黄金已全部卖出。行情仍截至10:18—10:19，我爱我家新仓股数待补。</x:v>
      </x:c>
      <x:c r="B2" s="112" t="str">
        <x:v>快照ID：ASU-20260903-100827-000925-601212 ｜ 数据截止：2026-09-03 10:08:27+08:00 ｜ 两笔新仓T+1锁定，结构参数待收盘复核</x:v>
      </x:c>
      <x:c r="C2" s="112" t="str">
        <x:v>快照ID：ASU-20260903-100827-000925-601212 ｜ 数据截止：2026-09-03 10:08:27+08:00 ｜ 两笔新仓T+1锁定，结构参数待收盘复核</x:v>
      </x:c>
      <x:c r="D2" s="112" t="str">
        <x:v>快照ID：ASU-20260903-100827-000925-601212 ｜ 数据截止：2026-09-03 10:08:27+08:00 ｜ 两笔新仓T+1锁定，结构参数待收盘复核</x:v>
      </x:c>
      <x:c r="E2" s="112" t="str">
        <x:v>快照ID：ASU-20260903-100827-000925-601212 ｜ 数据截止：2026-09-03 10:08:27+08:00 ｜ 两笔新仓T+1锁定，结构参数待收盘复核</x:v>
      </x:c>
      <x:c r="F2" s="112" t="str">
        <x:v>快照ID：ASU-20260903-100827-000925-601212 ｜ 数据截止：2026-09-03 10:08:27+08:00 ｜ 两笔新仓T+1锁定，结构参数待收盘复核</x:v>
      </x:c>
      <x:c r="G2" s="112" t="str">
        <x:v>快照ID：ASU-20260903-100827-000925-601212 ｜ 数据截止：2026-09-03 10:08:27+08:00 ｜ 两笔新仓T+1锁定，结构参数待收盘复核</x:v>
      </x:c>
      <x:c r="H2" s="112" t="str">
        <x:v>快照ID：ASU-20260903-100827-000925-601212 ｜ 数据截止：2026-09-03 10:08:27+08:00 ｜ 两笔新仓T+1锁定，结构参数待收盘复核</x:v>
      </x:c>
      <x:c r="I2" s="112" t="str">
        <x:v>快照ID：ASU-20260903-100827-000925-601212 ｜ 数据截止：2026-09-03 10:08:27+08:00 ｜ 两笔新仓T+1锁定，结构参数待收盘复核</x:v>
      </x:c>
      <x:c r="J2" s="112" t="str">
        <x:v>快照ID：ASU-20260903-100827-000925-601212 ｜ 数据截止：2026-09-03 10:08:27+08:00 ｜ 两笔新仓T+1锁定，结构参数待收盘复核</x:v>
      </x:c>
      <x:c r="K2" s="112" t="str">
        <x:v>快照ID：ASU-20260903-100827-000925-601212 ｜ 数据截止：2026-09-03 10:08:27+08:00 ｜ 两笔新仓T+1锁定，结构参数待收盘复核</x:v>
      </x:c>
      <x:c r="L2" s="112" t="str">
        <x:v>快照ID：ASU-20260903-100827-000925-601212 ｜ 数据截止：2026-09-03 10:08:27+08:00 ｜ 两笔新仓T+1锁定，结构参数待收盘复核</x:v>
      </x:c>
      <x:c r="M2" s="112" t="str">
        <x:v>快照ID：ASU-20260903-100827-000925-601212 ｜ 数据截止：2026-09-03 10:08:27+08:00 ｜ 两笔新仓T+1锁定，结构参数待收盘复核</x:v>
      </x:c>
      <x:c r="N2" s="112" t="str">
        <x:v>快照ID：ASU-20260903-100827-000925-601212 ｜ 数据截止：2026-09-03 10:08:27+08:00 ｜ 两笔新仓T+1锁定，结构参数待收盘复核</x:v>
      </x:c>
      <x:c r="O2" s="112" t="str">
        <x:v>快照ID：ASU-20260903-100827-000925-601212 ｜ 数据截止：2026-09-03 10:08:27+08:00 ｜ 两笔新仓T+1锁定，结构参数待收盘复核</x:v>
      </x:c>
      <x:c r="P2" s="112" t="str">
        <x:v>快照ID：ASU-20260903-100827-000925-601212 ｜ 数据截止：2026-09-03 10:08:27+08:00 ｜ 两笔新仓T+1锁定，结构参数待收盘复核</x:v>
      </x:c>
      <x:c r="Q2" s="112" t="str">
        <x:v>快照ID：ASU-20260903-100827-000925-601212 ｜ 数据截止：2026-09-03 10:08:27+08:00 ｜ 两笔新仓T+1锁定，结构参数待收盘复核</x:v>
      </x:c>
    </x:row>
    <x:row r="3">
      <x:c r="A3" s="113" t="str">
        <x:v>账户净值</x:v>
      </x:c>
      <x:c r="B3" s="113" t="str"/>
      <x:c r="C3" s="113" t="str">
        <x:v>总成本</x:v>
      </x:c>
      <x:c r="D3" s="113" t="str"/>
      <x:c r="E3" s="113" t="str">
        <x:v>当前市值</x:v>
      </x:c>
      <x:c r="F3" s="113" t="str"/>
      <x:c r="G3" s="113" t="str">
        <x:v>总仓位</x:v>
      </x:c>
      <x:c r="H3" s="113" t="str"/>
      <x:c r="I3" s="113" t="str">
        <x:v>浮动盈亏</x:v>
      </x:c>
      <x:c r="J3" s="113" t="str"/>
      <x:c r="K3" s="113" t="str">
        <x:v>持仓收益率</x:v>
      </x:c>
      <x:c r="L3" s="113" t="str"/>
      <x:c r="M3" s="113" t="str">
        <x:v>合计一档压力</x:v>
      </x:c>
      <x:c r="N3" s="113" t="str"/>
      <x:c r="O3" s="55"/>
      <x:c r="P3" s="55"/>
      <x:c r="Q3" s="55"/>
    </x:row>
    <x:row r="4">
      <x:c r="A4" s="114" t="n">
        <x:f>'参数设置'!B5</x:f>
        <x:v>30000</x:v>
      </x:c>
      <x:c r="B4" s="115"/>
      <x:c r="C4" s="114" t="str">
        <x:f>IF(COUNT(C8:C9)&lt;2,"",SUM(F8:F9))</x:f>
      </x:c>
      <x:c r="D4" s="115"/>
      <x:c r="E4" s="114" t="str">
        <x:f>IF(COUNT(C8:C9)&lt;2,"",SUM(G8:G9))</x:f>
      </x:c>
      <x:c r="F4" s="115"/>
      <x:c r="G4" s="116" t="str">
        <x:f>IF(E4="","",E4/A4)</x:f>
      </x:c>
      <x:c r="H4" s="117"/>
      <x:c r="I4" s="118" t="str">
        <x:f>IF(OR(E4="",C4=""),"",E4-C4)</x:f>
      </x:c>
      <x:c r="J4" s="119"/>
      <x:c r="K4" s="120" t="str">
        <x:f>IF(C4="","",I4/C4)</x:f>
      </x:c>
      <x:c r="L4" s="121"/>
      <x:c r="M4" s="116" t="str">
        <x:f>IF(COUNT(C8:C9)&lt;2,"",SUM(O8:O9))</x:f>
      </x:c>
      <x:c r="N4" s="117"/>
      <x:c r="O4" s="55"/>
      <x:c r="P4" s="55"/>
      <x:c r="Q4" s="55"/>
    </x:row>
    <x:row r="5">
      <x:c r="A5" s="55"/>
      <x:c r="B5" s="55"/>
      <x:c r="C5" s="55"/>
      <x:c r="D5" s="55"/>
      <x:c r="E5" s="55"/>
      <x:c r="F5" s="55"/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</x:row>
    <x:row r="6" ht="24" customHeight="1">
      <x:c r="A6" s="56" t="str">
        <x:v>当前持仓（黄色输入可更新最新价与可卖数量；红涨/盈，绿跌/亏）</x:v>
      </x:c>
      <x:c r="B6" s="56" t="str">
        <x:v>当前持仓（黄色输入可更新最新价与可卖数量；红涨/盈，绿跌/亏）</x:v>
      </x:c>
      <x:c r="C6" s="56" t="str">
        <x:v>当前持仓（黄色输入可更新最新价与可卖数量；红涨/盈，绿跌/亏）</x:v>
      </x:c>
      <x:c r="D6" s="56" t="str">
        <x:v>当前持仓（黄色输入可更新最新价与可卖数量；红涨/盈，绿跌/亏）</x:v>
      </x:c>
      <x:c r="E6" s="56" t="str">
        <x:v>当前持仓（黄色输入可更新最新价与可卖数量；红涨/盈，绿跌/亏）</x:v>
      </x:c>
      <x:c r="F6" s="56" t="str">
        <x:v>当前持仓（黄色输入可更新最新价与可卖数量；红涨/盈，绿跌/亏）</x:v>
      </x:c>
      <x:c r="G6" s="56" t="str">
        <x:v>当前持仓（黄色输入可更新最新价与可卖数量；红涨/盈，绿跌/亏）</x:v>
      </x:c>
      <x:c r="H6" s="56" t="str">
        <x:v>当前持仓（黄色输入可更新最新价与可卖数量；红涨/盈，绿跌/亏）</x:v>
      </x:c>
      <x:c r="I6" s="56" t="str">
        <x:v>当前持仓（黄色输入可更新最新价与可卖数量；红涨/盈，绿跌/亏）</x:v>
      </x:c>
      <x:c r="J6" s="56" t="str">
        <x:v>当前持仓（黄色输入可更新最新价与可卖数量；红涨/盈，绿跌/亏）</x:v>
      </x:c>
      <x:c r="K6" s="56" t="str">
        <x:v>当前持仓（黄色输入可更新最新价与可卖数量；红涨/盈，绿跌/亏）</x:v>
      </x:c>
      <x:c r="L6" s="56" t="str">
        <x:v>当前持仓（黄色输入可更新最新价与可卖数量；红涨/盈，绿跌/亏）</x:v>
      </x:c>
      <x:c r="M6" s="56" t="str">
        <x:v>当前持仓（黄色输入可更新最新价与可卖数量；红涨/盈，绿跌/亏）</x:v>
      </x:c>
      <x:c r="N6" s="56" t="str">
        <x:v>当前持仓（黄色输入可更新最新价与可卖数量；红涨/盈，绿跌/亏）</x:v>
      </x:c>
      <x:c r="O6" s="56" t="str">
        <x:v>当前持仓（黄色输入可更新最新价与可卖数量；红涨/盈，绿跌/亏）</x:v>
      </x:c>
      <x:c r="P6" s="56" t="str">
        <x:v>当前持仓（黄色输入可更新最新价与可卖数量；红涨/盈，绿跌/亏）</x:v>
      </x:c>
      <x:c r="Q6" s="56" t="str">
        <x:v>当前持仓（黄色输入可更新最新价与可卖数量；红涨/盈，绿跌/亏）</x:v>
      </x:c>
    </x:row>
    <x:row r="7">
      <x:c r="A7" s="59" t="str">
        <x:v>代码</x:v>
      </x:c>
      <x:c r="B7" s="59" t="str">
        <x:v>证券</x:v>
      </x:c>
      <x:c r="C7" s="59" t="str">
        <x:v>股数</x:v>
      </x:c>
      <x:c r="D7" s="59" t="str">
        <x:v>成本价</x:v>
      </x:c>
      <x:c r="E7" s="59" t="str">
        <x:v>最新价</x:v>
      </x:c>
      <x:c r="F7" s="59" t="str">
        <x:v>成本金额</x:v>
      </x:c>
      <x:c r="G7" s="59" t="str">
        <x:v>当前市值</x:v>
      </x:c>
      <x:c r="H7" s="59" t="str">
        <x:v>仓位占比</x:v>
      </x:c>
      <x:c r="I7" s="59" t="str">
        <x:v>浮动盈亏</x:v>
      </x:c>
      <x:c r="J7" s="59" t="str">
        <x:v>收益率</x:v>
      </x:c>
      <x:c r="K7" s="59" t="str">
        <x:v>结构失效价</x:v>
      </x:c>
      <x:c r="L7" s="59" t="str">
        <x:v>第一压力</x:v>
      </x:c>
      <x:c r="M7" s="59" t="str">
        <x:v>价格风险（未含费）</x:v>
      </x:c>
      <x:c r="N7" s="59" t="str">
        <x:v>价格风险/账户</x:v>
      </x:c>
      <x:c r="O7" s="59" t="str">
        <x:v>一档跌停压力</x:v>
      </x:c>
      <x:c r="P7" s="59" t="str">
        <x:v>压力测试净R</x:v>
      </x:c>
      <x:c r="Q7" s="59" t="str">
        <x:v>检查</x:v>
      </x:c>
    </x:row>
    <x:row r="8">
      <x:c r="A8" s="204" t="str">
        <x:v>000560</x:v>
      </x:c>
      <x:c r="B8" s="62" t="str">
        <x:v>我爱我家</x:v>
      </x:c>
      <x:c r="C8" s="62"/>
      <x:c r="D8" s="65" t="n">
        <x:v>3.22</x:v>
      </x:c>
      <x:c r="E8" s="64" t="n">
        <x:v>3.23</x:v>
      </x:c>
      <x:c r="F8" s="207" t="str">
        <x:f>IF(C8="","",C8*D8)</x:f>
      </x:c>
      <x:c r="G8" s="207" t="str">
        <x:f>IF(C8="","",C8*E8)</x:f>
      </x:c>
      <x:c r="H8" s="203" t="str">
        <x:f>IF(G8="","",G8/$A$4)</x:f>
      </x:c>
      <x:c r="I8" s="209" t="str">
        <x:f>IF(F8="","",G8-F8)</x:f>
      </x:c>
      <x:c r="J8" s="203" t="str">
        <x:f>IF(F8="","",I8/F8)</x:f>
      </x:c>
      <x:c r="K8" s="64"/>
      <x:c r="L8" s="64"/>
      <x:c r="M8" s="66" t="str">
        <x:f>IF(OR(C8="",K8=""),"",MAX(0,(E8-K8)*C8))</x:f>
      </x:c>
      <x:c r="N8" s="203" t="str">
        <x:f>IF(M8="","",M8/$A$4)</x:f>
      </x:c>
      <x:c r="O8" s="203" t="str">
        <x:f>IF(G8="","",G8*'参数设置'!$B$13/$A$4)</x:f>
      </x:c>
      <x:c r="P8" s="123"/>
      <x:c r="Q8" s="62" t="str">
        <x:v>股数待补</x:v>
      </x:c>
    </x:row>
    <x:row r="9">
      <x:c r="A9" s="204" t="str">
        <x:v>300189</x:v>
      </x:c>
      <x:c r="B9" s="62" t="str">
        <x:v>神农种业</x:v>
      </x:c>
      <x:c r="C9" s="62" t="n">
        <x:v>1200</x:v>
      </x:c>
      <x:c r="D9" s="65" t="n">
        <x:v>7.834</x:v>
      </x:c>
      <x:c r="E9" s="64" t="n">
        <x:v>7.71</x:v>
      </x:c>
      <x:c r="F9" s="207" t="n">
        <x:f>IF(C9="","",C9*D9)</x:f>
        <x:v>9400.8</x:v>
      </x:c>
      <x:c r="G9" s="207" t="n">
        <x:f>IF(C9="","",C9*E9)</x:f>
        <x:v>9252</x:v>
      </x:c>
      <x:c r="H9" s="203" t="n">
        <x:f>IF(G9="","",G9/$A$4)</x:f>
        <x:v>0.3084</x:v>
      </x:c>
      <x:c r="I9" s="209" t="n">
        <x:f>IF(F9="","",G9-F9)</x:f>
        <x:v>-148.79999999999927</x:v>
      </x:c>
      <x:c r="J9" s="203" t="n">
        <x:f>IF(F9="","",I9/F9)</x:f>
        <x:v>-0.015828440132754584</x:v>
      </x:c>
      <x:c r="K9" s="64"/>
      <x:c r="L9" s="64"/>
      <x:c r="M9" s="66" t="str">
        <x:f>IF(OR(C9="",K9=""),"",MAX(0,(E9-K9)*C9))</x:f>
      </x:c>
      <x:c r="N9" s="203" t="str">
        <x:f>IF(M9="","",M9/$A$4)</x:f>
      </x:c>
      <x:c r="O9" s="203" t="n">
        <x:f>IF(G9="","",G9*'参数设置'!$B$20/$A$4)</x:f>
        <x:v>0.061680000000000006</x:v>
      </x:c>
      <x:c r="P9" s="123"/>
      <x:c r="Q9" s="62" t="str">
        <x:v>20cm仓位超限</x:v>
      </x:c>
    </x:row>
    <x:row r="10">
      <x:c r="A10" s="205"/>
      <x:c r="B10" s="55"/>
      <x:c r="C10" s="55"/>
      <x:c r="D10" s="206"/>
      <x:c r="E10" s="206"/>
      <x:c r="F10" s="208"/>
      <x:c r="G10" s="208"/>
      <x:c r="H10" s="211"/>
      <x:c r="I10" s="210"/>
      <x:c r="J10" s="211"/>
      <x:c r="K10" s="55"/>
      <x:c r="L10" s="55"/>
      <x:c r="M10" s="55"/>
      <x:c r="N10" s="211"/>
      <x:c r="O10" s="211"/>
      <x:c r="P10" s="55"/>
      <x:c r="Q10" s="55"/>
    </x:row>
    <x:row r="11" ht="24" customHeight="1">
      <x:c r="A11" s="56" t="str">
        <x:v>结论与硬规则</x:v>
      </x:c>
      <x:c r="B11" s="56" t="str">
        <x:v>结论与硬规则</x:v>
      </x:c>
      <x:c r="C11" s="56" t="str">
        <x:v>结论与硬规则</x:v>
      </x:c>
      <x:c r="D11" s="56" t="str">
        <x:v>结论与硬规则</x:v>
      </x:c>
      <x:c r="E11" s="56" t="str">
        <x:v>结论与硬规则</x:v>
      </x:c>
      <x:c r="F11" s="56" t="str">
        <x:v>结论与硬规则</x:v>
      </x:c>
      <x:c r="G11" s="56" t="str">
        <x:v>结论与硬规则</x:v>
      </x:c>
      <x:c r="H11" s="56" t="str">
        <x:v>结论与硬规则</x:v>
      </x:c>
      <x:c r="I11" s="56" t="str">
        <x:v>结论与硬规则</x:v>
      </x:c>
      <x:c r="J11" s="56" t="str">
        <x:v>结论与硬规则</x:v>
      </x:c>
      <x:c r="K11" s="56" t="str">
        <x:v>结论与硬规则</x:v>
      </x:c>
      <x:c r="L11" s="56" t="str">
        <x:v>结论与硬规则</x:v>
      </x:c>
      <x:c r="M11" s="56" t="str">
        <x:v>结论与硬规则</x:v>
      </x:c>
      <x:c r="N11" s="56" t="str">
        <x:v>结论与硬规则</x:v>
      </x:c>
      <x:c r="O11" s="56" t="str">
        <x:v>结论与硬规则</x:v>
      </x:c>
      <x:c r="P11" s="56" t="str">
        <x:v>结论与硬规则</x:v>
      </x:c>
      <x:c r="Q11" s="56" t="str">
        <x:v>结论与硬规则</x:v>
      </x:c>
    </x:row>
    <x:row r="12">
      <x:c r="A12" s="124" t="str">
        <x:v>结论</x:v>
      </x:c>
      <x:c r="B12" s="125" t="str">
        <x:v>已确认：神农种业7.834买1200股；我爱旧仓3200股3.30全卖；汉缆1400股6.440全卖；山东黄金200股37.01全卖。</x:v>
      </x:c>
      <x:c r="C12" s="125"/>
      <x:c r="D12" s="125"/>
      <x:c r="E12" s="125"/>
      <x:c r="F12" s="125"/>
      <x:c r="G12" s="125"/>
      <x:c r="H12" s="125"/>
      <x:c r="I12" s="125"/>
      <x:c r="J12" s="125"/>
      <x:c r="K12" s="125"/>
      <x:c r="L12" s="125"/>
      <x:c r="M12" s="125"/>
      <x:c r="N12" s="125"/>
      <x:c r="O12" s="125"/>
      <x:c r="P12" s="125"/>
      <x:c r="Q12" s="126"/>
    </x:row>
    <x:row r="13">
      <x:c r="A13" s="127" t="str">
        <x:v>优先级</x:v>
      </x:c>
      <x:c r="B13" s="128" t="str">
        <x:v>神农种业买入額9,400.80元，按3万元净值约31.34%，超过验证档20cm单股15%上限。</x:v>
      </x:c>
      <x:c r="C13" s="128"/>
      <x:c r="D13" s="128"/>
      <x:c r="E13" s="128"/>
      <x:c r="F13" s="128"/>
      <x:c r="G13" s="128"/>
      <x:c r="H13" s="128"/>
      <x:c r="I13" s="128"/>
      <x:c r="J13" s="128"/>
      <x:c r="K13" s="128"/>
      <x:c r="L13" s="128"/>
      <x:c r="M13" s="128"/>
      <x:c r="N13" s="128"/>
      <x:c r="O13" s="128"/>
      <x:c r="P13" s="128"/>
      <x:c r="Q13" s="129"/>
    </x:row>
    <x:row r="14">
      <x:c r="A14" s="127" t="str">
        <x:v>T+1</x:v>
      </x:c>
      <x:c r="B14" s="128" t="str">
        <x:v>当前仅保留神农种业1200股和我爱我家3.22元新仓（股数待补）；两笔为今日新买，T+1锁定。</x:v>
      </x:c>
      <x:c r="C14" s="128"/>
      <x:c r="D14" s="128"/>
      <x:c r="E14" s="128"/>
      <x:c r="F14" s="128"/>
      <x:c r="G14" s="128"/>
      <x:c r="H14" s="128"/>
      <x:c r="I14" s="128"/>
      <x:c r="J14" s="128"/>
      <x:c r="K14" s="128"/>
      <x:c r="L14" s="128"/>
      <x:c r="M14" s="128"/>
      <x:c r="N14" s="128"/>
      <x:c r="O14" s="128"/>
      <x:c r="P14" s="128"/>
      <x:c r="Q14" s="129"/>
    </x:row>
    <x:row r="15">
      <x:c r="A15" s="127" t="str">
        <x:v>下一步</x:v>
      </x:c>
      <x:c r="B15" s="128" t="str">
        <x:v>山东黄金价差亏损281.20元，汉缆亏损383.60元。我爱旧仓按暂定3.15成本盈利480元；费用待核。</x:v>
      </x:c>
      <x:c r="C15" s="128"/>
      <x:c r="D15" s="128"/>
      <x:c r="E15" s="128"/>
      <x:c r="F15" s="128"/>
      <x:c r="G15" s="128"/>
      <x:c r="H15" s="128"/>
      <x:c r="I15" s="128"/>
      <x:c r="J15" s="128"/>
      <x:c r="K15" s="128"/>
      <x:c r="L15" s="128"/>
      <x:c r="M15" s="128"/>
      <x:c r="N15" s="128"/>
      <x:c r="O15" s="128"/>
      <x:c r="P15" s="128"/>
      <x:c r="Q15" s="129"/>
    </x:row>
    <x:row r="16">
      <x:c r="A16" s="130" t="str">
        <x:v>风险提示</x:v>
      </x:c>
      <x:c r="B16" s="131" t="str">
        <x:v>我爱我家新增股数缺失，总仓和汇总浮盈亏暂不显示。神农种业仓位超限；不以已实现盈亏抵消新仓风险。</x:v>
      </x:c>
      <x:c r="C16" s="131"/>
      <x:c r="D16" s="131"/>
      <x:c r="E16" s="131"/>
      <x:c r="F16" s="131"/>
      <x:c r="G16" s="131"/>
      <x:c r="H16" s="131"/>
      <x:c r="I16" s="131"/>
      <x:c r="J16" s="131"/>
      <x:c r="K16" s="131"/>
      <x:c r="L16" s="131"/>
      <x:c r="M16" s="131"/>
      <x:c r="N16" s="131"/>
      <x:c r="O16" s="131"/>
      <x:c r="P16" s="131"/>
      <x:c r="Q16" s="132"/>
    </x:row>
  </x:sheetData>
  <x:mergeCells>
    <x:mergeCell ref="A1:Q1"/>
    <x:mergeCell ref="A2:Q2"/>
    <x:mergeCell ref="A3:B3"/>
    <x:mergeCell ref="A4:B4"/>
    <x:mergeCell ref="C3:D3"/>
    <x:mergeCell ref="C4:D4"/>
    <x:mergeCell ref="E3:F3"/>
    <x:mergeCell ref="E4:F4"/>
    <x:mergeCell ref="G3:H3"/>
    <x:mergeCell ref="G4:H4"/>
    <x:mergeCell ref="I3:J3"/>
    <x:mergeCell ref="I4:J4"/>
    <x:mergeCell ref="K3:L3"/>
    <x:mergeCell ref="K4:L4"/>
    <x:mergeCell ref="M3:N3"/>
    <x:mergeCell ref="M4:N4"/>
    <x:mergeCell ref="A6:Q6"/>
    <x:mergeCell ref="A11:Q11"/>
    <x:mergeCell ref="B12:Q12"/>
    <x:mergeCell ref="B13:Q13"/>
    <x:mergeCell ref="B14:Q14"/>
    <x:mergeCell ref="B15:Q15"/>
    <x:mergeCell ref="B16:Q16"/>
  </x:mergeCells>
  <x:conditionalFormatting sqref="I4:J4">
    <x:cfRule type="cellIs" dxfId="2" priority="1" operator="greaterThan">
      <x:formula>0</x:formula>
    </x:cfRule>
    <x:cfRule type="cellIs" dxfId="3" priority="2" operator="lessThan">
      <x:formula>0</x:formula>
    </x:cfRule>
  </x:conditionalFormatting>
  <x:conditionalFormatting sqref="K4:L4">
    <x:cfRule type="cellIs" dxfId="4" priority="3" operator="greaterThan">
      <x:formula>0</x:formula>
    </x:cfRule>
    <x:cfRule type="cellIs" dxfId="5" priority="4" operator="lessThan">
      <x:formula>0</x:formula>
    </x:cfRule>
  </x:conditionalFormatting>
  <x:conditionalFormatting sqref="E8:E9">
    <x:cfRule type="expression" dxfId="6" priority="5">
      <x:formula>E8&gt;D8</x:formula>
    </x:cfRule>
    <x:cfRule type="expression" dxfId="7" priority="6">
      <x:formula>E8&lt;D8</x:formula>
    </x:cfRule>
  </x:conditionalFormatting>
  <x:conditionalFormatting sqref="I8:J9">
    <x:cfRule type="cellIs" dxfId="8" priority="7" operator="greaterThan">
      <x:formula>0</x:formula>
    </x:cfRule>
    <x:cfRule type="cellIs" dxfId="9" priority="8" operator="lessThan">
      <x:formula>0</x:formula>
    </x:cfRule>
  </x:conditionalFormatting>
  <x:conditionalFormatting sqref="Q8:Q9">
    <x:cfRule type="containsText" dxfId="10" priority="9" operator="containsText" text="PASS"/>
    <x:cfRule type="containsText" dxfId="11" priority="10" operator="containsText" text="REVIEW"/>
    <x:cfRule type="containsText" dxfId="12" priority="11" operator="containsText" text="INCOMPLETE"/>
  </x:conditionalFormatting>
  <x:conditionalFormatting sqref="I8:J10">
    <x:cfRule type="cellIs" dxfId="21" priority="12" operator="greaterThan">
      <x:formula>0</x:formula>
    </x:cfRule>
    <x:cfRule type="cellIs" dxfId="22" priority="13" operator="lessThan">
      <x:formula>0</x:formula>
    </x:cfRule>
    <x:cfRule type="cellIs" dxfId="31" priority="16" operator="greaterThan">
      <x:formula>0</x:formula>
    </x:cfRule>
    <x:cfRule type="cellIs" dxfId="32" priority="17" operator="lessThan">
      <x:formula>0</x:formula>
    </x:cfRule>
  </x:conditionalFormatting>
  <x:conditionalFormatting sqref="E8:E10">
    <x:cfRule type="expression" dxfId="27" priority="14">
      <x:formula>E8&gt;D8</x:formula>
    </x:cfRule>
    <x:cfRule type="expression" dxfId="28" priority="15">
      <x:formula>E8&lt;D8</x:formula>
    </x:cfRule>
  </x:conditionalFormatting>
  <x:pageMargins left="0.7" right="0.7" top="0.75" bottom="0.75" header="0.3" footer="0.3"/>
  <x:legacyDrawing xmlns:r="http://schemas.openxmlformats.org/officeDocument/2006/relationships" r:id="Rce6ee9d6b85145c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7" hidden="0" customWidth="1"/>
    <x:col min="3" max="3" width="3" hidden="0" customWidth="1"/>
    <x:col min="4" max="4" width="14" hidden="0" customWidth="1"/>
    <x:col min="5" max="5" width="9" hidden="0" customWidth="1"/>
    <x:col min="6" max="6" width="15" hidden="0" customWidth="1"/>
    <x:col min="7" max="7" width="15" hidden="0" customWidth="1"/>
    <x:col min="8" max="8" width="15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 ht="32" customHeight="1">
      <x:c r="A1" s="53" t="str">
        <x:v>A股超短交易参数与净盈亏比压力测试</x:v>
      </x:c>
      <x:c r="B1" s="53" t="str">
        <x:v>A股超短交易参数与净盈亏比压力测试</x:v>
      </x:c>
      <x:c r="C1" s="53" t="str">
        <x:v>A股超短交易参数与净盈亏比压力测试</x:v>
      </x:c>
      <x:c r="D1" s="53" t="str">
        <x:v>A股超短交易参数与净盈亏比压力测试</x:v>
      </x:c>
      <x:c r="E1" s="53" t="str">
        <x:v>A股超短交易参数与净盈亏比压力测试</x:v>
      </x:c>
      <x:c r="F1" s="53" t="str">
        <x:v>A股超短交易参数与净盈亏比压力测试</x:v>
      </x:c>
      <x:c r="G1" s="53" t="str">
        <x:v>A股超短交易参数与净盈亏比压力测试</x:v>
      </x:c>
      <x:c r="H1" s="53" t="str">
        <x:v>A股超短交易参数与净盈亏比压力测试</x:v>
      </x:c>
      <x:c r="I1" s="53" t="str">
        <x:v>A股超短交易参数与净盈亏比压力测试</x:v>
      </x:c>
      <x:c r="J1" s="53" t="str">
        <x:v>A股超短交易参数与净盈亏比压力测试</x:v>
      </x:c>
      <x:c r="K1" s="53" t="str">
        <x:v>A股超短交易参数与净盈亏比压力测试</x:v>
      </x:c>
      <x:c r="L1" s="53" t="str">
        <x:v>A股超短交易参数与净盈亏比压力测试</x:v>
      </x:c>
      <x:c r="M1" s="53" t="str">
        <x:v>A股超短交易参数与净盈亏比压力测试</x:v>
      </x:c>
      <x:c r="N1" s="53" t="str">
        <x:v>A股超短交易参数与净盈亏比压力测试</x:v>
      </x:c>
      <x:c r="O1" s="53" t="str">
        <x:v>A股超短交易参数与净盈亏比压力测试</x:v>
      </x:c>
      <x:c r="P1" s="53" t="str">
        <x:v>A股超短交易参数与净盈亏比压力测试</x:v>
      </x:c>
      <x:c r="Q1" s="53" t="str">
        <x:v>A股超短交易参数与净盈亏比压力测试</x:v>
      </x:c>
      <x:c r="R1" s="53" t="str">
        <x:v>A股超短交易参数与净盈亏比压力测试</x:v>
      </x:c>
      <x:c r="S1" s="53" t="str">
        <x:v>A股超短交易参数与净盈亏比压力测试</x:v>
      </x:c>
      <x:c r="T1" s="53" t="str">
        <x:v>A股超短交易参数与净盈亏比压力测试</x:v>
      </x:c>
      <x:c r="U1" s="53" t="str">
        <x:v>A股超短交易参数与净盈亏比压力测试</x:v>
      </x:c>
      <x:c r="V1" s="53" t="str">
        <x:v>A股超短交易参数与净盈亏比压力测试</x:v>
      </x:c>
      <x:c r="W1" s="53" t="str">
        <x:v>A股超短交易参数与净盈亏比压力测试</x:v>
      </x:c>
    </x:row>
    <x:row r="2">
      <x:c r="A2" s="54" t="str">
        <x:v>行情截至2026-09-07 10:18—10:19+08:00。账户净值仍为30,000元假设，费用待核实。</x:v>
      </x:c>
      <x:c r="B2" s="54" t="str">
        <x:v>蓝色字体为可编辑输入；黄色底色表示需用券商真实数据更新。当前行情截止 2026-09-03 10:08:27（北京时间）；结构失效价与目标价尚待收盘复核。</x:v>
      </x:c>
      <x:c r="C2" s="54" t="str">
        <x:v>蓝色字体为可编辑输入；黄色底色表示需用券商真实数据更新。当前行情截止 2026-09-03 10:08:27（北京时间）；结构失效价与目标价尚待收盘复核。</x:v>
      </x:c>
      <x:c r="D2" s="54" t="str">
        <x:v>蓝色字体为可编辑输入；黄色底色表示需用券商真实数据更新。当前行情截止 2026-09-03 10:08:27（北京时间）；结构失效价与目标价尚待收盘复核。</x:v>
      </x:c>
      <x:c r="E2" s="54" t="str">
        <x:v>蓝色字体为可编辑输入；黄色底色表示需用券商真实数据更新。当前行情截止 2026-09-03 10:08:27（北京时间）；结构失效价与目标价尚待收盘复核。</x:v>
      </x:c>
      <x:c r="F2" s="54" t="str">
        <x:v>蓝色字体为可编辑输入；黄色底色表示需用券商真实数据更新。当前行情截止 2026-09-03 10:08:27（北京时间）；结构失效价与目标价尚待收盘复核。</x:v>
      </x:c>
      <x:c r="G2" s="54" t="str">
        <x:v>蓝色字体为可编辑输入；黄色底色表示需用券商真实数据更新。当前行情截止 2026-09-03 10:08:27（北京时间）；结构失效价与目标价尚待收盘复核。</x:v>
      </x:c>
      <x:c r="H2" s="54" t="str">
        <x:v>蓝色字体为可编辑输入；黄色底色表示需用券商真实数据更新。当前行情截止 2026-09-03 10:08:27（北京时间）；结构失效价与目标价尚待收盘复核。</x:v>
      </x:c>
      <x:c r="I2" s="54" t="str">
        <x:v>蓝色字体为可编辑输入；黄色底色表示需用券商真实数据更新。当前行情截止 2026-09-03 10:08:27（北京时间）；结构失效价与目标价尚待收盘复核。</x:v>
      </x:c>
      <x:c r="J2" s="54" t="str">
        <x:v>蓝色字体为可编辑输入；黄色底色表示需用券商真实数据更新。当前行情截止 2026-09-03 10:08:27（北京时间）；结构失效价与目标价尚待收盘复核。</x:v>
      </x:c>
      <x:c r="K2" s="54" t="str">
        <x:v>蓝色字体为可编辑输入；黄色底色表示需用券商真实数据更新。当前行情截止 2026-09-03 10:08:27（北京时间）；结构失效价与目标价尚待收盘复核。</x:v>
      </x:c>
      <x:c r="L2" s="54" t="str">
        <x:v>蓝色字体为可编辑输入；黄色底色表示需用券商真实数据更新。当前行情截止 2026-09-03 10:08:27（北京时间）；结构失效价与目标价尚待收盘复核。</x:v>
      </x:c>
      <x:c r="M2" s="54" t="str">
        <x:v>蓝色字体为可编辑输入；黄色底色表示需用券商真实数据更新。当前行情截止 2026-09-03 10:08:27（北京时间）；结构失效价与目标价尚待收盘复核。</x:v>
      </x:c>
      <x:c r="N2" s="54" t="str">
        <x:v>蓝色字体为可编辑输入；黄色底色表示需用券商真实数据更新。当前行情截止 2026-09-03 10:08:27（北京时间）；结构失效价与目标价尚待收盘复核。</x:v>
      </x:c>
      <x:c r="O2" s="54" t="str">
        <x:v>蓝色字体为可编辑输入；黄色底色表示需用券商真实数据更新。当前行情截止 2026-09-03 10:08:27（北京时间）；结构失效价与目标价尚待收盘复核。</x:v>
      </x:c>
      <x:c r="P2" s="54" t="str">
        <x:v>蓝色字体为可编辑输入；黄色底色表示需用券商真实数据更新。当前行情截止 2026-09-03 10:08:27（北京时间）；结构失效价与目标价尚待收盘复核。</x:v>
      </x:c>
      <x:c r="Q2" s="54" t="str">
        <x:v>蓝色字体为可编辑输入；黄色底色表示需用券商真实数据更新。当前行情截止 2026-09-03 10:08:27（北京时间）；结构失效价与目标价尚待收盘复核。</x:v>
      </x:c>
      <x:c r="R2" s="54" t="str">
        <x:v>蓝色字体为可编辑输入；黄色底色表示需用券商真实数据更新。当前行情截止 2026-09-03 10:08:27（北京时间）；结构失效价与目标价尚待收盘复核。</x:v>
      </x:c>
      <x:c r="S2" s="54" t="str">
        <x:v>蓝色字体为可编辑输入；黄色底色表示需用券商真实数据更新。当前行情截止 2026-09-03 10:08:27（北京时间）；结构失效价与目标价尚待收盘复核。</x:v>
      </x:c>
      <x:c r="T2" s="54" t="str">
        <x:v>蓝色字体为可编辑输入；黄色底色表示需用券商真实数据更新。当前行情截止 2026-09-03 10:08:27（北京时间）；结构失效价与目标价尚待收盘复核。</x:v>
      </x:c>
      <x:c r="U2" s="54" t="str">
        <x:v>蓝色字体为可编辑输入；黄色底色表示需用券商真实数据更新。当前行情截止 2026-09-03 10:08:27（北京时间）；结构失效价与目标价尚待收盘复核。</x:v>
      </x:c>
      <x:c r="V2" s="54" t="str">
        <x:v>蓝色字体为可编辑输入；黄色底色表示需用券商真实数据更新。当前行情截止 2026-09-03 10:08:27（北京时间）；结构失效价与目标价尚待收盘复核。</x:v>
      </x:c>
      <x:c r="W2" s="54" t="str">
        <x:v>蓝色字体为可编辑输入；黄色底色表示需用券商真实数据更新。当前行情截止 2026-09-03 10:08:27（北京时间）；结构失效价与目标价尚待收盘复核。</x:v>
      </x:c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</x:row>
    <x:row r="4" ht="24" customHeight="1">
      <x:c r="A4" s="56" t="str">
        <x:v>账户与交易假设</x:v>
      </x:c>
      <x:c r="B4" s="56" t="str">
        <x:v>账户与交易假设</x:v>
      </x:c>
      <x:c r="C4" s="55"/>
      <x:c r="D4" s="56" t="str">
        <x:v>继续持有净盈亏比（按当前评估价与压力假设）</x:v>
      </x:c>
      <x:c r="E4" s="56" t="str">
        <x:v>继续持有净盈亏比（按当前评估价与压力假设）</x:v>
      </x:c>
      <x:c r="F4" s="56" t="str">
        <x:v>继续持有净盈亏比（按当前评估价与压力假设）</x:v>
      </x:c>
      <x:c r="G4" s="56" t="str">
        <x:v>继续持有净盈亏比（按当前评估价与压力假设）</x:v>
      </x:c>
      <x:c r="H4" s="56" t="str">
        <x:v>继续持有净盈亏比（按当前评估价与压力假设）</x:v>
      </x:c>
      <x:c r="I4" s="56" t="str">
        <x:v>继续持有净盈亏比（按当前评估价与压力假设）</x:v>
      </x:c>
      <x:c r="J4" s="56" t="str">
        <x:v>继续持有净盈亏比（按当前评估价与压力假设）</x:v>
      </x:c>
      <x:c r="K4" s="56" t="str">
        <x:v>继续持有净盈亏比（按当前评估价与压力假设）</x:v>
      </x:c>
      <x:c r="L4" s="56" t="str">
        <x:v>继续持有净盈亏比（按当前评估价与压力假设）</x:v>
      </x:c>
      <x:c r="M4" s="56" t="str">
        <x:v>继续持有净盈亏比（按当前评估价与压力假设）</x:v>
      </x:c>
      <x:c r="N4" s="56" t="str">
        <x:v>继续持有净盈亏比（按当前评估价与压力假设）</x:v>
      </x:c>
      <x:c r="O4" s="56" t="str">
        <x:v>继续持有净盈亏比（按当前评估价与压力假设）</x:v>
      </x:c>
      <x:c r="P4" s="56" t="str">
        <x:v>继续持有净盈亏比（按当前评估价与压力假设）</x:v>
      </x:c>
      <x:c r="Q4" s="56" t="str">
        <x:v>继续持有净盈亏比（按当前评估价与压力假设）</x:v>
      </x:c>
      <x:c r="R4" s="56" t="str">
        <x:v>继续持有净盈亏比（按当前评估价与压力假设）</x:v>
      </x:c>
      <x:c r="S4" s="56" t="str">
        <x:v>继续持有净盈亏比（按当前评估价与压力假设）</x:v>
      </x:c>
      <x:c r="T4" s="56" t="str">
        <x:v>继续持有净盈亏比（按当前评估价与压力假设）</x:v>
      </x:c>
      <x:c r="U4" s="56" t="str">
        <x:v>继续持有净盈亏比（按当前评估价与压力假设）</x:v>
      </x:c>
      <x:c r="V4" s="56" t="str">
        <x:v>继续持有净盈亏比（按当前评估价与压力假设）</x:v>
      </x:c>
      <x:c r="W4" s="56" t="str">
        <x:v>继续持有净盈亏比（按当前评估价与压力假设）</x:v>
      </x:c>
    </x:row>
    <x:row r="5">
      <x:c r="A5" s="57" t="str">
        <x:v>账户净值</x:v>
      </x:c>
      <x:c r="B5" s="58" t="n">
        <x:v>30000</x:v>
      </x:c>
      <x:c r="C5" s="55"/>
      <x:c r="D5" s="59" t="str">
        <x:v>证券</x:v>
      </x:c>
      <x:c r="E5" s="59" t="str">
        <x:v>股数</x:v>
      </x:c>
      <x:c r="F5" s="59" t="str">
        <x:v>当前评估价</x:v>
      </x:c>
      <x:c r="G5" s="59" t="str">
        <x:v>结构失效价</x:v>
      </x:c>
      <x:c r="H5" s="59" t="str">
        <x:v>第一压力</x:v>
      </x:c>
      <x:c r="I5" s="59" t="str">
        <x:v>评估买入滑点价</x:v>
      </x:c>
      <x:c r="J5" s="59" t="str">
        <x:v>评估金额</x:v>
      </x:c>
      <x:c r="K5" s="59" t="str">
        <x:v>评估买入佣金</x:v>
      </x:c>
      <x:c r="L5" s="59" t="str">
        <x:v>评估买入附加费</x:v>
      </x:c>
      <x:c r="M5" s="59" t="str">
        <x:v>评估现金流出</x:v>
      </x:c>
      <x:c r="N5" s="59" t="str">
        <x:v>止损滑点价</x:v>
      </x:c>
      <x:c r="O5" s="59" t="str">
        <x:v>止损金额</x:v>
      </x:c>
      <x:c r="P5" s="59" t="str">
        <x:v>止损卖出成本</x:v>
      </x:c>
      <x:c r="Q5" s="59" t="str">
        <x:v>净风险</x:v>
      </x:c>
      <x:c r="R5" s="59" t="str">
        <x:v>目标滑点价</x:v>
      </x:c>
      <x:c r="S5" s="59" t="str">
        <x:v>目标金额</x:v>
      </x:c>
      <x:c r="T5" s="59" t="str">
        <x:v>目标卖出成本</x:v>
      </x:c>
      <x:c r="U5" s="59" t="str">
        <x:v>净收益</x:v>
      </x:c>
      <x:c r="V5" s="59" t="str">
        <x:v>净R</x:v>
      </x:c>
      <x:c r="W5" s="59" t="str">
        <x:v>盈亏平衡胜率</x:v>
      </x:c>
    </x:row>
    <x:row r="6">
      <x:c r="A6" s="60" t="str">
        <x:v>佣金率（压力假设）</x:v>
      </x:c>
      <x:c r="B6" s="61" t="n">
        <x:v>0.0003</x:v>
      </x:c>
      <x:c r="C6" s="55"/>
      <x:c r="D6" s="62" t="str">
        <x:v>我爱我家</x:v>
      </x:c>
      <x:c r="E6" s="63"/>
      <x:c r="F6" s="64" t="n">
        <x:v>3.23</x:v>
      </x:c>
      <x:c r="G6" s="64"/>
      <x:c r="H6" s="64"/>
      <x:c r="I6" s="65"/>
      <x:c r="J6" s="66"/>
      <x:c r="K6" s="66"/>
      <x:c r="L6" s="66"/>
      <x:c r="M6" s="66"/>
      <x:c r="N6" s="65"/>
      <x:c r="O6" s="66"/>
      <x:c r="P6" s="66"/>
      <x:c r="Q6" s="66"/>
      <x:c r="R6" s="66"/>
      <x:c r="S6" s="66"/>
      <x:c r="T6" s="66"/>
      <x:c r="U6" s="67"/>
      <x:c r="V6" s="68"/>
      <x:c r="W6" s="69"/>
    </x:row>
    <x:row r="7">
      <x:c r="A7" s="60" t="str">
        <x:v>单边最低佣金</x:v>
      </x:c>
      <x:c r="B7" s="70" t="n">
        <x:v>5</x:v>
      </x:c>
      <x:c r="C7" s="55"/>
      <x:c r="D7" s="62" t="str">
        <x:v>神农种业</x:v>
      </x:c>
      <x:c r="E7" s="63" t="n">
        <x:v>1200</x:v>
      </x:c>
      <x:c r="F7" s="64" t="n">
        <x:v>7.71</x:v>
      </x:c>
      <x:c r="G7" s="64"/>
      <x:c r="H7" s="64"/>
      <x:c r="I7" s="65"/>
      <x:c r="J7" s="66"/>
      <x:c r="K7" s="66"/>
      <x:c r="L7" s="66"/>
      <x:c r="M7" s="66"/>
      <x:c r="N7" s="65"/>
      <x:c r="O7" s="66"/>
      <x:c r="P7" s="66"/>
      <x:c r="Q7" s="66"/>
      <x:c r="R7" s="66"/>
      <x:c r="S7" s="66"/>
      <x:c r="T7" s="66"/>
      <x:c r="U7" s="67"/>
      <x:c r="V7" s="68"/>
      <x:c r="W7" s="69"/>
    </x:row>
    <x:row r="8">
      <x:c r="A8" s="60" t="str">
        <x:v>佣金口径</x:v>
      </x:c>
      <x:c r="B8" s="71" t="str">
        <x:v>all_in</x:v>
      </x:c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</x:row>
    <x:row r="9" ht="28" customHeight="1">
      <x:c r="A9" s="60" t="str">
        <x:v>未包含附加费率/边</x:v>
      </x:c>
      <x:c r="B9" s="72" t="n">
        <x:v>0</x:v>
      </x:c>
      <x:c r="C9" s="55"/>
      <x:c r="D9" s="73" t="str">
        <x:v>山东黄金已全部卖出。神农种业和我爱我家缺事前失效价、目标及实际费用，我爱我家还缺股数，净R暂不计算。</x:v>
      </x:c>
      <x:c r="E9" s="73" t="str">
        <x:v>重要：两笔新仓均缺少事前结构失效价L、第一压力T和最高允许入场价Emax，因此当前净R留空，不得按买入成本倒推合理性。收盘后补齐结构数据并重新计算。</x:v>
      </x:c>
      <x:c r="F9" s="73" t="str">
        <x:v>重要：两笔新仓均缺少事前结构失效价L、第一压力T和最高允许入场价Emax，因此当前净R留空，不得按买入成本倒推合理性。收盘后补齐结构数据并重新计算。</x:v>
      </x:c>
      <x:c r="G9" s="73" t="str">
        <x:v>重要：两笔新仓均缺少事前结构失效价L、第一压力T和最高允许入场价Emax，因此当前净R留空，不得按买入成本倒推合理性。收盘后补齐结构数据并重新计算。</x:v>
      </x:c>
      <x:c r="H9" s="73" t="str">
        <x:v>重要：两笔新仓均缺少事前结构失效价L、第一压力T和最高允许入场价Emax，因此当前净R留空，不得按买入成本倒推合理性。收盘后补齐结构数据并重新计算。</x:v>
      </x:c>
      <x:c r="I9" s="73" t="str">
        <x:v>重要：两笔新仓均缺少事前结构失效价L、第一压力T和最高允许入场价Emax，因此当前净R留空，不得按买入成本倒推合理性。收盘后补齐结构数据并重新计算。</x:v>
      </x:c>
      <x:c r="J9" s="73" t="str">
        <x:v>重要：两笔新仓均缺少事前结构失效价L、第一压力T和最高允许入场价Emax，因此当前净R留空，不得按买入成本倒推合理性。收盘后补齐结构数据并重新计算。</x:v>
      </x:c>
      <x:c r="K9" s="73" t="str">
        <x:v>重要：两笔新仓均缺少事前结构失效价L、第一压力T和最高允许入场价Emax，因此当前净R留空，不得按买入成本倒推合理性。收盘后补齐结构数据并重新计算。</x:v>
      </x:c>
      <x:c r="L9" s="73" t="str">
        <x:v>重要：两笔新仓均缺少事前结构失效价L、第一压力T和最高允许入场价Emax，因此当前净R留空，不得按买入成本倒推合理性。收盘后补齐结构数据并重新计算。</x:v>
      </x:c>
      <x:c r="M9" s="73" t="str">
        <x:v>重要：两笔新仓均缺少事前结构失效价L、第一压力T和最高允许入场价Emax，因此当前净R留空，不得按买入成本倒推合理性。收盘后补齐结构数据并重新计算。</x:v>
      </x:c>
      <x:c r="N9" s="73" t="str">
        <x:v>重要：两笔新仓均缺少事前结构失效价L、第一压力T和最高允许入场价Emax，因此当前净R留空，不得按买入成本倒推合理性。收盘后补齐结构数据并重新计算。</x:v>
      </x:c>
      <x:c r="O9" s="73" t="str">
        <x:v>重要：两笔新仓均缺少事前结构失效价L、第一压力T和最高允许入场价Emax，因此当前净R留空，不得按买入成本倒推合理性。收盘后补齐结构数据并重新计算。</x:v>
      </x:c>
      <x:c r="P9" s="73" t="str">
        <x:v>重要：两笔新仓均缺少事前结构失效价L、第一压力T和最高允许入场价Emax，因此当前净R留空，不得按买入成本倒推合理性。收盘后补齐结构数据并重新计算。</x:v>
      </x:c>
      <x:c r="Q9" s="73" t="str">
        <x:v>重要：两笔新仓均缺少事前结构失效价L、第一压力T和最高允许入场价Emax，因此当前净R留空，不得按买入成本倒推合理性。收盘后补齐结构数据并重新计算。</x:v>
      </x:c>
      <x:c r="R9" s="73" t="str">
        <x:v>重要：两笔新仓均缺少事前结构失效价L、第一压力T和最高允许入场价Emax，因此当前净R留空，不得按买入成本倒推合理性。收盘后补齐结构数据并重新计算。</x:v>
      </x:c>
      <x:c r="S9" s="73" t="str">
        <x:v>重要：两笔新仓均缺少事前结构失效价L、第一压力T和最高允许入场价Emax，因此当前净R留空，不得按买入成本倒推合理性。收盘后补齐结构数据并重新计算。</x:v>
      </x:c>
      <x:c r="T9" s="73" t="str">
        <x:v>重要：两笔新仓均缺少事前结构失效价L、第一压力T和最高允许入场价Emax，因此当前净R留空，不得按买入成本倒推合理性。收盘后补齐结构数据并重新计算。</x:v>
      </x:c>
      <x:c r="U9" s="73" t="str">
        <x:v>重要：两笔新仓均缺少事前结构失效价L、第一压力T和最高允许入场价Emax，因此当前净R留空，不得按买入成本倒推合理性。收盘后补齐结构数据并重新计算。</x:v>
      </x:c>
      <x:c r="V9" s="73" t="str">
        <x:v>重要：两笔新仓均缺少事前结构失效价L、第一压力T和最高允许入场价Emax，因此当前净R留空，不得按买入成本倒推合理性。收盘后补齐结构数据并重新计算。</x:v>
      </x:c>
      <x:c r="W9" s="73" t="str">
        <x:v>重要：两笔新仓均缺少事前结构失效价L、第一压力T和最高允许入场价Emax，因此当前净R留空，不得按买入成本倒推合理性。收盘后补齐结构数据并重新计算。</x:v>
      </x:c>
    </x:row>
    <x:row r="10" ht="28" customHeight="1">
      <x:c r="A10" s="60" t="str">
        <x:v>卖出印花税率</x:v>
      </x:c>
      <x:c r="B10" s="72" t="n">
        <x:v>0.0005</x:v>
      </x:c>
      <x:c r="C10" s="55"/>
      <x:c r="D10" s="73" t="str">
        <x:v>重要：两笔新仓均缺少事前结构失效价L、第一压力T和最高允许入场价Emax，因此当前净R留空，不得按买入成本倒推合理性。收盘后补齐结构数据并重新计算。</x:v>
      </x:c>
      <x:c r="E10" s="73" t="str">
        <x:v>重要：两笔新仓均缺少事前结构失效价L、第一压力T和最高允许入场价Emax，因此当前净R留空，不得按买入成本倒推合理性。收盘后补齐结构数据并重新计算。</x:v>
      </x:c>
      <x:c r="F10" s="73" t="str">
        <x:v>重要：两笔新仓均缺少事前结构失效价L、第一压力T和最高允许入场价Emax，因此当前净R留空，不得按买入成本倒推合理性。收盘后补齐结构数据并重新计算。</x:v>
      </x:c>
      <x:c r="G10" s="73" t="str">
        <x:v>重要：两笔新仓均缺少事前结构失效价L、第一压力T和最高允许入场价Emax，因此当前净R留空，不得按买入成本倒推合理性。收盘后补齐结构数据并重新计算。</x:v>
      </x:c>
      <x:c r="H10" s="73" t="str">
        <x:v>重要：两笔新仓均缺少事前结构失效价L、第一压力T和最高允许入场价Emax，因此当前净R留空，不得按买入成本倒推合理性。收盘后补齐结构数据并重新计算。</x:v>
      </x:c>
      <x:c r="I10" s="73" t="str">
        <x:v>重要：两笔新仓均缺少事前结构失效价L、第一压力T和最高允许入场价Emax，因此当前净R留空，不得按买入成本倒推合理性。收盘后补齐结构数据并重新计算。</x:v>
      </x:c>
      <x:c r="J10" s="73" t="str">
        <x:v>重要：两笔新仓均缺少事前结构失效价L、第一压力T和最高允许入场价Emax，因此当前净R留空，不得按买入成本倒推合理性。收盘后补齐结构数据并重新计算。</x:v>
      </x:c>
      <x:c r="K10" s="73" t="str">
        <x:v>重要：两笔新仓均缺少事前结构失效价L、第一压力T和最高允许入场价Emax，因此当前净R留空，不得按买入成本倒推合理性。收盘后补齐结构数据并重新计算。</x:v>
      </x:c>
      <x:c r="L10" s="73" t="str">
        <x:v>重要：两笔新仓均缺少事前结构失效价L、第一压力T和最高允许入场价Emax，因此当前净R留空，不得按买入成本倒推合理性。收盘后补齐结构数据并重新计算。</x:v>
      </x:c>
      <x:c r="M10" s="73" t="str">
        <x:v>重要：两笔新仓均缺少事前结构失效价L、第一压力T和最高允许入场价Emax，因此当前净R留空，不得按买入成本倒推合理性。收盘后补齐结构数据并重新计算。</x:v>
      </x:c>
      <x:c r="N10" s="73" t="str">
        <x:v>重要：两笔新仓均缺少事前结构失效价L、第一压力T和最高允许入场价Emax，因此当前净R留空，不得按买入成本倒推合理性。收盘后补齐结构数据并重新计算。</x:v>
      </x:c>
      <x:c r="O10" s="73" t="str">
        <x:v>重要：两笔新仓均缺少事前结构失效价L、第一压力T和最高允许入场价Emax，因此当前净R留空，不得按买入成本倒推合理性。收盘后补齐结构数据并重新计算。</x:v>
      </x:c>
      <x:c r="P10" s="73" t="str">
        <x:v>重要：两笔新仓均缺少事前结构失效价L、第一压力T和最高允许入场价Emax，因此当前净R留空，不得按买入成本倒推合理性。收盘后补齐结构数据并重新计算。</x:v>
      </x:c>
      <x:c r="Q10" s="73" t="str">
        <x:v>重要：两笔新仓均缺少事前结构失效价L、第一压力T和最高允许入场价Emax，因此当前净R留空，不得按买入成本倒推合理性。收盘后补齐结构数据并重新计算。</x:v>
      </x:c>
      <x:c r="R10" s="73" t="str">
        <x:v>重要：两笔新仓均缺少事前结构失效价L、第一压力T和最高允许入场价Emax，因此当前净R留空，不得按买入成本倒推合理性。收盘后补齐结构数据并重新计算。</x:v>
      </x:c>
      <x:c r="S10" s="73" t="str">
        <x:v>重要：两笔新仓均缺少事前结构失效价L、第一压力T和最高允许入场价Emax，因此当前净R留空，不得按买入成本倒推合理性。收盘后补齐结构数据并重新计算。</x:v>
      </x:c>
      <x:c r="T10" s="73" t="str">
        <x:v>重要：两笔新仓均缺少事前结构失效价L、第一压力T和最高允许入场价Emax，因此当前净R留空，不得按买入成本倒推合理性。收盘后补齐结构数据并重新计算。</x:v>
      </x:c>
      <x:c r="U10" s="73" t="str">
        <x:v>重要：两笔新仓均缺少事前结构失效价L、第一压力T和最高允许入场价Emax，因此当前净R留空，不得按买入成本倒推合理性。收盘后补齐结构数据并重新计算。</x:v>
      </x:c>
      <x:c r="V10" s="73" t="str">
        <x:v>重要：两笔新仓均缺少事前结构失效价L、第一压力T和最高允许入场价Emax，因此当前净R留空，不得按买入成本倒推合理性。收盘后补齐结构数据并重新计算。</x:v>
      </x:c>
      <x:c r="W10" s="73" t="str">
        <x:v>重要：两笔新仓均缺少事前结构失效价L、第一压力T和最高允许入场价Emax，因此当前净R留空，不得按买入成本倒推合理性。收盘后补齐结构数据并重新计算。</x:v>
      </x:c>
    </x:row>
    <x:row r="11">
      <x:c r="A11" s="60" t="str">
        <x:v>压力滑点率/边</x:v>
      </x:c>
      <x:c r="B11" s="72" t="n">
        <x:v>0.0005</x:v>
      </x:c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</x:row>
    <x:row r="12">
      <x:c r="A12" s="60" t="str">
        <x:v>验证档单股跌停压力上限</x:v>
      </x:c>
      <x:c r="B12" s="72" t="n">
        <x:v>0.03</x:v>
      </x:c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</x:row>
    <x:row r="13">
      <x:c r="A13" s="60" t="str">
        <x:v>主板一档跌停压力</x:v>
      </x:c>
      <x:c r="B13" s="72" t="n">
        <x:v>0.1</x:v>
      </x:c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</x:row>
    <x:row r="14">
      <x:c r="A14" s="60" t="str">
        <x:v>验证档总仓上限</x:v>
      </x:c>
      <x:c r="B14" s="72" t="n">
        <x:v>0.6</x:v>
      </x:c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</x:row>
    <x:row r="15">
      <x:c r="A15" s="60" t="str">
        <x:v>主板单股仓位上限</x:v>
      </x:c>
      <x:c r="B15" s="72" t="n">
        <x:v>0.3</x:v>
      </x:c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</x:row>
    <x:row r="16">
      <x:c r="A16" s="60" t="str">
        <x:v>验证档单笔风险率</x:v>
      </x:c>
      <x:c r="B16" s="72" t="n">
        <x:v>0.0075</x:v>
      </x:c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</x:row>
    <x:row r="17">
      <x:c r="A17" s="60" t="str">
        <x:v>验证档组合风险率</x:v>
      </x:c>
      <x:c r="B17" s="72" t="n">
        <x:v>0.015</x:v>
      </x:c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</x:row>
    <x:row r="18">
      <x:c r="A18" s="74" t="str">
        <x:v>压力测试净R门槛</x:v>
      </x:c>
      <x:c r="B18" s="75" t="n">
        <x:v>2.5</x:v>
      </x:c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</x:row>
    <x:row r="19">
      <x:c r="A19" t="str">
        <x:v>创业板单股上限（验证档）</x:v>
      </x:c>
      <x:c r="B19" s="177" t="n">
        <x:v>0.15</x:v>
      </x:c>
    </x:row>
    <x:row r="20">
      <x:c r="A20" t="str">
        <x:v>创业板一档压力假设</x:v>
      </x:c>
      <x:c r="B20" s="177" t="n">
        <x:v>0.2</x:v>
      </x:c>
    </x:row>
  </x:sheetData>
  <x:mergeCells>
    <x:mergeCell ref="A1:W1"/>
    <x:mergeCell ref="A2:W2"/>
    <x:mergeCell ref="A4:B4"/>
    <x:mergeCell ref="D4:W4"/>
    <x:mergeCell ref="D9:W10"/>
  </x:mergeCells>
  <x:conditionalFormatting sqref="U6:V7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b32c87a5fee349b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3" hidden="0" customWidth="1"/>
    <x:col min="4" max="4" width="27" hidden="0" customWidth="1"/>
    <x:col min="5" max="5" width="27" hidden="0" customWidth="1"/>
    <x:col min="6" max="6" width="18" hidden="0" customWidth="1"/>
    <x:col min="7" max="7" width="24" hidden="0" customWidth="1"/>
    <x:col min="8" max="8" width="24" hidden="0" customWidth="1"/>
  </x:cols>
  <x:sheetData>
    <x:row r="1" ht="32" customHeight="1">
      <x:c r="A1" s="53" t="str">
        <x:v>下一交易日四情景执行剧本</x:v>
      </x:c>
      <x:c r="B1" s="53" t="str">
        <x:v>下一交易日四情景执行剧本</x:v>
      </x:c>
      <x:c r="C1" s="53" t="str">
        <x:v>下一交易日四情景执行剧本</x:v>
      </x:c>
      <x:c r="D1" s="53" t="str">
        <x:v>下一交易日四情景执行剧本</x:v>
      </x:c>
      <x:c r="E1" s="53" t="str">
        <x:v>下一交易日四情景执行剧本</x:v>
      </x:c>
      <x:c r="F1" s="53" t="str">
        <x:v>下一交易日四情景执行剧本</x:v>
      </x:c>
      <x:c r="G1" s="53" t="str">
        <x:v>下一交易日四情景执行剧本</x:v>
      </x:c>
      <x:c r="H1" s="53" t="str">
        <x:v>下一交易日四情景执行剧本</x:v>
      </x:c>
    </x:row>
    <x:row r="2">
      <x:c r="A2" s="54" t="str">
        <x:v>9月7日：汉缆、山东黄金及我爱我家旧仓已全卖。仅管理神农种业和我爱我家新仓，今日锁定；明日价位待收盘复核。</x:v>
      </x:c>
      <x:c r="B2" s="54" t="str">
        <x:v>两笔均为今日新仓，当前结构参数不完整。以下仅记录条件框架；收盘后必须重新运行，且所有数量以券商可卖数量为准。</x:v>
      </x:c>
      <x:c r="C2" s="54" t="str">
        <x:v>两笔均为今日新仓，当前结构参数不完整。以下仅记录条件框架；收盘后必须重新运行，且所有数量以券商可卖数量为准。</x:v>
      </x:c>
      <x:c r="D2" s="54" t="str">
        <x:v>两笔均为今日新仓，当前结构参数不完整。以下仅记录条件框架；收盘后必须重新运行，且所有数量以券商可卖数量为准。</x:v>
      </x:c>
      <x:c r="E2" s="54" t="str">
        <x:v>两笔均为今日新仓，当前结构参数不完整。以下仅记录条件框架；收盘后必须重新运行，且所有数量以券商可卖数量为准。</x:v>
      </x:c>
      <x:c r="F2" s="54" t="str">
        <x:v>两笔均为今日新仓，当前结构参数不完整。以下仅记录条件框架；收盘后必须重新运行，且所有数量以券商可卖数量为准。</x:v>
      </x:c>
      <x:c r="G2" s="54" t="str">
        <x:v>两笔均为今日新仓，当前结构参数不完整。以下仅记录条件框架；收盘后必须重新运行，且所有数量以券商可卖数量为准。</x:v>
      </x:c>
      <x:c r="H2" s="54" t="str">
        <x:v>两笔均为今日新仓，当前结构参数不完整。以下仅记录条件框架；收盘后必须重新运行，且所有数量以券商可卖数量为准。</x:v>
      </x:c>
    </x:row>
    <x:row r="3">
      <x:c r="A3" s="55"/>
      <x:c r="B3" s="55"/>
      <x:c r="C3" s="55"/>
      <x:c r="D3" s="55"/>
      <x:c r="E3" s="55"/>
      <x:c r="F3" s="55"/>
      <x:c r="G3" s="55"/>
      <x:c r="H3" s="55"/>
    </x:row>
    <x:row r="4">
      <x:c r="A4" s="59" t="str">
        <x:v>证券</x:v>
      </x:c>
      <x:c r="B4" s="59" t="str">
        <x:v>情景</x:v>
      </x:c>
      <x:c r="C4" s="59" t="str">
        <x:v>价格条件</x:v>
      </x:c>
      <x:c r="D4" s="59" t="str">
        <x:v>板块/市场确认</x:v>
      </x:c>
      <x:c r="E4" s="59" t="str">
        <x:v>基准动作</x:v>
      </x:c>
      <x:c r="F4" s="59" t="str">
        <x:v>条件卖出数量</x:v>
      </x:c>
      <x:c r="G4" s="59" t="str">
        <x:v>禁止事项</x:v>
      </x:c>
      <x:c r="H4" s="59" t="str">
        <x:v>失效/未成交记录</x:v>
      </x:c>
    </x:row>
    <x:row r="5" ht="43.5" customHeight="1">
      <x:c r="A5" s="137" t="str">
        <x:v>我爱我家</x:v>
      </x:c>
      <x:c r="B5" s="138" t="str">
        <x:v>高开</x:v>
      </x:c>
      <x:c r="C5" s="139" t="str">
        <x:v>下一交易日以9月7日收盘及结构复核</x:v>
      </x:c>
      <x:c r="D5" s="139" t="str">
        <x:v>地产分化，核验同梯队反馈</x:v>
      </x:c>
      <x:c r="E5" s="139" t="str">
        <x:v>不加仓；补齐结构后制定退出条件</x:v>
      </x:c>
      <x:c r="F5" s="139" t="str">
        <x:v>券商实际可卖数量</x:v>
      </x:c>
      <x:c r="G5" s="139" t="str">
        <x:v>不扩大止损；不把成本当支撑</x:v>
      </x:c>
      <x:c r="H5" s="139" t="str">
        <x:v>今日新买锁定，无法当日卖出</x:v>
      </x:c>
    </x:row>
    <x:row r="6" ht="43.5" customHeight="1">
      <x:c r="A6" s="137" t="str">
        <x:v>我爱我家</x:v>
      </x:c>
      <x:c r="B6" s="138" t="str">
        <x:v>平开</x:v>
      </x:c>
      <x:c r="C6" s="139" t="str">
        <x:v>下一交易日以9月7日收盘及结构复核</x:v>
      </x:c>
      <x:c r="D6" s="139" t="str">
        <x:v>地产分化，核验同梯队反馈</x:v>
      </x:c>
      <x:c r="E6" s="139" t="str">
        <x:v>不加仓；补齐结构后制定退出条件</x:v>
      </x:c>
      <x:c r="F6" s="139" t="str">
        <x:v>券商实际可卖数量</x:v>
      </x:c>
      <x:c r="G6" s="139" t="str">
        <x:v>不扩大止损；不把成本当支撑</x:v>
      </x:c>
      <x:c r="H6" s="139" t="str">
        <x:v>今日新买锁定，无法当日卖出</x:v>
      </x:c>
    </x:row>
    <x:row r="7" ht="43.5" customHeight="1">
      <x:c r="A7" s="137" t="str">
        <x:v>我爱我家</x:v>
      </x:c>
      <x:c r="B7" s="138" t="str">
        <x:v>低开</x:v>
      </x:c>
      <x:c r="C7" s="139" t="str">
        <x:v>下一交易日以9月7日收盘及结构复核</x:v>
      </x:c>
      <x:c r="D7" s="139" t="str">
        <x:v>地产分化，核验同梯队反馈</x:v>
      </x:c>
      <x:c r="E7" s="139" t="str">
        <x:v>不加仓；补齐结构后制定退出条件</x:v>
      </x:c>
      <x:c r="F7" s="139" t="str">
        <x:v>券商实际可卖数量</x:v>
      </x:c>
      <x:c r="G7" s="139" t="str">
        <x:v>不扩大止损；不把成本当支撑</x:v>
      </x:c>
      <x:c r="H7" s="139" t="str">
        <x:v>今日新买锁定，无法当日卖出</x:v>
      </x:c>
    </x:row>
    <x:row r="8" ht="43.5" customHeight="1">
      <x:c r="A8" s="137" t="str">
        <x:v>我爱我家</x:v>
      </x:c>
      <x:c r="B8" s="138" t="str">
        <x:v>极端低开</x:v>
      </x:c>
      <x:c r="C8" s="139" t="str">
        <x:v>下一交易日以9月7日收盘及结构复核</x:v>
      </x:c>
      <x:c r="D8" s="139" t="str">
        <x:v>地产分化，核验同梯队反馈</x:v>
      </x:c>
      <x:c r="E8" s="139" t="str">
        <x:v>不加仓；补齐结构后制定退出条件</x:v>
      </x:c>
      <x:c r="F8" s="139" t="str">
        <x:v>券商实际可卖数量</x:v>
      </x:c>
      <x:c r="G8" s="139" t="str">
        <x:v>不扩大止损；不把成本当支撑</x:v>
      </x:c>
      <x:c r="H8" s="139" t="str">
        <x:v>今日新买锁定，无法当日卖出</x:v>
      </x:c>
    </x:row>
    <x:row r="9" ht="43.5" customHeight="1">
      <x:c r="A9" s="140" t="str">
        <x:v>神农种业</x:v>
      </x:c>
      <x:c r="B9" s="138" t="str">
        <x:v>高开</x:v>
      </x:c>
      <x:c r="C9" s="139" t="str">
        <x:v>下一交易日以9月7日收盘及结构复核</x:v>
      </x:c>
      <x:c r="D9" s="139" t="str">
        <x:v>种业前排与板块联动</x:v>
      </x:c>
      <x:c r="E9" s="139" t="str">
        <x:v>不加仓；补齐结构后制定退出条件</x:v>
      </x:c>
      <x:c r="F9" s="139" t="str">
        <x:v>券商实际可卖数量</x:v>
      </x:c>
      <x:c r="G9" s="139" t="str">
        <x:v>不扩大止损；不把成本当支撑</x:v>
      </x:c>
      <x:c r="H9" s="139" t="str">
        <x:v>今日新买锁定，无法当日卖出</x:v>
      </x:c>
    </x:row>
    <x:row r="10" ht="43.5" customHeight="1">
      <x:c r="A10" s="140" t="str">
        <x:v>神农种业</x:v>
      </x:c>
      <x:c r="B10" s="138" t="str">
        <x:v>平开</x:v>
      </x:c>
      <x:c r="C10" s="139" t="str">
        <x:v>下一交易日以9月7日收盘及结构复核</x:v>
      </x:c>
      <x:c r="D10" s="139" t="str">
        <x:v>种业前排与板块联动</x:v>
      </x:c>
      <x:c r="E10" s="139" t="str">
        <x:v>不加仓；补齐结构后制定退出条件</x:v>
      </x:c>
      <x:c r="F10" s="139" t="str">
        <x:v>券商实际可卖数量</x:v>
      </x:c>
      <x:c r="G10" s="139" t="str">
        <x:v>不扩大止损；不把成本当支撑</x:v>
      </x:c>
      <x:c r="H10" s="139" t="str">
        <x:v>今日新买锁定，无法当日卖出</x:v>
      </x:c>
    </x:row>
    <x:row r="11" ht="43.5" customHeight="1">
      <x:c r="A11" s="140" t="str">
        <x:v>神农种业</x:v>
      </x:c>
      <x:c r="B11" s="138" t="str">
        <x:v>低开</x:v>
      </x:c>
      <x:c r="C11" s="139" t="str">
        <x:v>下一交易日以9月7日收盘及结构复核</x:v>
      </x:c>
      <x:c r="D11" s="139" t="str">
        <x:v>种业前排与板块联动</x:v>
      </x:c>
      <x:c r="E11" s="139" t="str">
        <x:v>不加仓；补齐结构后制定退出条件</x:v>
      </x:c>
      <x:c r="F11" s="139" t="str">
        <x:v>券商实际可卖数量</x:v>
      </x:c>
      <x:c r="G11" s="139" t="str">
        <x:v>不扩大止损；不把成本当支撑</x:v>
      </x:c>
      <x:c r="H11" s="139" t="str">
        <x:v>今日新买锁定，无法当日卖出</x:v>
      </x:c>
    </x:row>
    <x:row r="12" ht="43.5" customHeight="1">
      <x:c r="A12" s="140" t="str">
        <x:v>神农种业</x:v>
      </x:c>
      <x:c r="B12" s="138" t="str">
        <x:v>极端低开</x:v>
      </x:c>
      <x:c r="C12" s="139" t="str">
        <x:v>下一交易日以9月7日收盘及结构复核</x:v>
      </x:c>
      <x:c r="D12" s="139" t="str">
        <x:v>种业前排与板块联动</x:v>
      </x:c>
      <x:c r="E12" s="139" t="str">
        <x:v>不加仓；补齐结构后制定退出条件</x:v>
      </x:c>
      <x:c r="F12" s="139" t="str">
        <x:v>券商实际可卖数量</x:v>
      </x:c>
      <x:c r="G12" s="139" t="str">
        <x:v>不扩大止损；不把成本当支撑</x:v>
      </x:c>
      <x:c r="H12" s="139" t="str">
        <x:v>今日新买锁定，无法当日卖出</x:v>
      </x:c>
    </x:row>
    <x:row r="13" ht="43.5" customHeight="1">
      <x:c r="A13" s="101"/>
      <x:c r="B13" s="101"/>
      <x:c r="C13" s="101"/>
      <x:c r="D13" s="101"/>
      <x:c r="E13" s="101"/>
      <x:c r="F13" s="101"/>
      <x:c r="G13" s="101"/>
      <x:c r="H13" s="101"/>
    </x:row>
    <x:row r="14" ht="43.5" customHeight="1">
      <x:c r="A14" s="101"/>
      <x:c r="B14" s="101"/>
      <x:c r="C14" s="101"/>
      <x:c r="D14" s="101"/>
      <x:c r="E14" s="101"/>
      <x:c r="F14" s="101"/>
      <x:c r="G14" s="101"/>
      <x:c r="H14" s="101"/>
    </x:row>
    <x:row r="15" ht="43.5" customHeight="1">
      <x:c r="A15" s="101"/>
      <x:c r="B15" s="101"/>
      <x:c r="C15" s="101"/>
      <x:c r="D15" s="101"/>
      <x:c r="E15" s="101"/>
      <x:c r="F15" s="101"/>
      <x:c r="G15" s="101"/>
      <x:c r="H15" s="101"/>
    </x:row>
    <x:row r="16" ht="43.5" customHeight="1">
      <x:c r="A16" s="101"/>
      <x:c r="B16" s="101"/>
      <x:c r="C16" s="101"/>
      <x:c r="D16" s="101"/>
      <x:c r="E16" s="101"/>
      <x:c r="F16" s="101"/>
      <x:c r="G16" s="101"/>
      <x:c r="H16" s="101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2" hidden="0" customWidth="1"/>
    <x:col min="4" max="4" width="17" hidden="0" customWidth="1"/>
    <x:col min="5" max="5" width="12" hidden="0" customWidth="1"/>
    <x:col min="6" max="6" width="12" hidden="0" customWidth="1"/>
    <x:col min="7" max="7" width="20" hidden="0" customWidth="1"/>
    <x:col min="8" max="8" width="20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30" hidden="0" customWidth="1"/>
  </x:cols>
  <x:sheetData>
    <x:row r="1" ht="32" customHeight="1">
      <x:c r="A1" s="156" t="str">
        <x:v>一笔交易一行｜个人超短交易日志</x:v>
      </x:c>
      <x:c r="B1" s="156" t="str">
        <x:v>一笔交易一行｜个人超短交易日志</x:v>
      </x:c>
      <x:c r="C1" s="156" t="str">
        <x:v>一笔交易一行｜个人超短交易日志</x:v>
      </x:c>
      <x:c r="D1" s="156" t="str">
        <x:v>一笔交易一行｜个人超短交易日志</x:v>
      </x:c>
      <x:c r="E1" s="156" t="str">
        <x:v>一笔交易一行｜个人超短交易日志</x:v>
      </x:c>
      <x:c r="F1" s="156" t="str">
        <x:v>一笔交易一行｜个人超短交易日志</x:v>
      </x:c>
      <x:c r="G1" s="156" t="str">
        <x:v>一笔交易一行｜个人超短交易日志</x:v>
      </x:c>
      <x:c r="H1" s="156" t="str">
        <x:v>一笔交易一行｜个人超短交易日志</x:v>
      </x:c>
      <x:c r="I1" s="156" t="str">
        <x:v>一笔交易一行｜个人超短交易日志</x:v>
      </x:c>
      <x:c r="J1" s="156" t="str">
        <x:v>一笔交易一行｜个人超短交易日志</x:v>
      </x:c>
      <x:c r="K1" s="156" t="str">
        <x:v>一笔交易一行｜个人超短交易日志</x:v>
      </x:c>
      <x:c r="L1" s="156" t="str">
        <x:v>一笔交易一行｜个人超短交易日志</x:v>
      </x:c>
      <x:c r="M1" s="156" t="str">
        <x:v>一笔交易一行｜个人超短交易日志</x:v>
      </x:c>
      <x:c r="N1" s="156" t="str">
        <x:v>一笔交易一行｜个人超短交易日志</x:v>
      </x:c>
      <x:c r="O1" s="156" t="str">
        <x:v>一笔交易一行｜个人超短交易日志</x:v>
      </x:c>
      <x:c r="P1" s="156" t="str">
        <x:v>一笔交易一行｜个人超短交易日志</x:v>
      </x:c>
      <x:c r="Q1" s="156" t="str">
        <x:v>一笔交易一行｜个人超短交易日志</x:v>
      </x:c>
      <x:c r="R1" s="156" t="str">
        <x:v>一笔交易一行｜个人超短交易日志</x:v>
      </x:c>
      <x:c r="S1" s="156" t="str">
        <x:v>一笔交易一行｜个人超短交易日志</x:v>
      </x:c>
      <x:c r="T1" s="156" t="str">
        <x:v>一笔交易一行｜个人超短交易日志</x:v>
      </x:c>
      <x:c r="U1" s="156" t="str">
        <x:v>一笔交易一行｜个人超短交易日志</x:v>
      </x:c>
      <x:c r="V1" s="156" t="str">
        <x:v>一笔交易一行｜个人超短交易日志</x:v>
      </x:c>
      <x:c r="W1" s="156" t="str">
        <x:v>一笔交易一行｜个人超短交易日志</x:v>
      </x:c>
      <x:c r="X1" s="156" t="str">
        <x:v>一笔交易一行｜个人超短交易日志</x:v>
      </x:c>
    </x:row>
    <x:row r="2">
      <x:c r="A2" s="157" t="str">
        <x:v>低位首板与主线核心回踩必须分开统计；红涨/盈，绿跌/亏。退出、费用、净R、MAE、MFE和纪律偏差在交易完成后回填。</x:v>
      </x:c>
      <x:c r="B2" s="157" t="str">
        <x:v>低位首板与主线核心回踩必须分开统计；红涨/盈，绿跌/亏。退出、费用、净R、MAE、MFE和纪律偏差在交易完成后回填。</x:v>
      </x:c>
      <x:c r="C2" s="157" t="str">
        <x:v>低位首板与主线核心回踩必须分开统计；红涨/盈，绿跌/亏。退出、费用、净R、MAE、MFE和纪律偏差在交易完成后回填。</x:v>
      </x:c>
      <x:c r="D2" s="157" t="str">
        <x:v>低位首板与主线核心回踩必须分开统计；红涨/盈，绿跌/亏。退出、费用、净R、MAE、MFE和纪律偏差在交易完成后回填。</x:v>
      </x:c>
      <x:c r="E2" s="157" t="str">
        <x:v>低位首板与主线核心回踩必须分开统计；红涨/盈，绿跌/亏。退出、费用、净R、MAE、MFE和纪律偏差在交易完成后回填。</x:v>
      </x:c>
      <x:c r="F2" s="157" t="str">
        <x:v>低位首板与主线核心回踩必须分开统计；红涨/盈，绿跌/亏。退出、费用、净R、MAE、MFE和纪律偏差在交易完成后回填。</x:v>
      </x:c>
      <x:c r="G2" s="157" t="str">
        <x:v>低位首板与主线核心回踩必须分开统计；红涨/盈，绿跌/亏。退出、费用、净R、MAE、MFE和纪律偏差在交易完成后回填。</x:v>
      </x:c>
      <x:c r="H2" s="157" t="str">
        <x:v>低位首板与主线核心回踩必须分开统计；红涨/盈，绿跌/亏。退出、费用、净R、MAE、MFE和纪律偏差在交易完成后回填。</x:v>
      </x:c>
      <x:c r="I2" s="157" t="str">
        <x:v>低位首板与主线核心回踩必须分开统计；红涨/盈，绿跌/亏。退出、费用、净R、MAE、MFE和纪律偏差在交易完成后回填。</x:v>
      </x:c>
      <x:c r="J2" s="157" t="str">
        <x:v>低位首板与主线核心回踩必须分开统计；红涨/盈，绿跌/亏。退出、费用、净R、MAE、MFE和纪律偏差在交易完成后回填。</x:v>
      </x:c>
      <x:c r="K2" s="157" t="str">
        <x:v>低位首板与主线核心回踩必须分开统计；红涨/盈，绿跌/亏。退出、费用、净R、MAE、MFE和纪律偏差在交易完成后回填。</x:v>
      </x:c>
      <x:c r="L2" s="157" t="str">
        <x:v>低位首板与主线核心回踩必须分开统计；红涨/盈，绿跌/亏。退出、费用、净R、MAE、MFE和纪律偏差在交易完成后回填。</x:v>
      </x:c>
      <x:c r="M2" s="157" t="str">
        <x:v>低位首板与主线核心回踩必须分开统计；红涨/盈，绿跌/亏。退出、费用、净R、MAE、MFE和纪律偏差在交易完成后回填。</x:v>
      </x:c>
      <x:c r="N2" s="157" t="str">
        <x:v>低位首板与主线核心回踩必须分开统计；红涨/盈，绿跌/亏。退出、费用、净R、MAE、MFE和纪律偏差在交易完成后回填。</x:v>
      </x:c>
      <x:c r="O2" s="157" t="str">
        <x:v>低位首板与主线核心回踩必须分开统计；红涨/盈，绿跌/亏。退出、费用、净R、MAE、MFE和纪律偏差在交易完成后回填。</x:v>
      </x:c>
      <x:c r="P2" s="157" t="str">
        <x:v>低位首板与主线核心回踩必须分开统计；红涨/盈，绿跌/亏。退出、费用、净R、MAE、MFE和纪律偏差在交易完成后回填。</x:v>
      </x:c>
      <x:c r="Q2" s="157" t="str">
        <x:v>低位首板与主线核心回踩必须分开统计；红涨/盈，绿跌/亏。退出、费用、净R、MAE、MFE和纪律偏差在交易完成后回填。</x:v>
      </x:c>
      <x:c r="R2" s="157" t="str">
        <x:v>低位首板与主线核心回踩必须分开统计；红涨/盈，绿跌/亏。退出、费用、净R、MAE、MFE和纪律偏差在交易完成后回填。</x:v>
      </x:c>
      <x:c r="S2" s="157" t="str">
        <x:v>低位首板与主线核心回踩必须分开统计；红涨/盈，绿跌/亏。退出、费用、净R、MAE、MFE和纪律偏差在交易完成后回填。</x:v>
      </x:c>
      <x:c r="T2" s="157" t="str">
        <x:v>低位首板与主线核心回踩必须分开统计；红涨/盈，绿跌/亏。退出、费用、净R、MAE、MFE和纪律偏差在交易完成后回填。</x:v>
      </x:c>
      <x:c r="U2" s="157" t="str">
        <x:v>低位首板与主线核心回踩必须分开统计；红涨/盈，绿跌/亏。退出、费用、净R、MAE、MFE和纪律偏差在交易完成后回填。</x:v>
      </x:c>
      <x:c r="V2" s="157" t="str">
        <x:v>低位首板与主线核心回踩必须分开统计；红涨/盈，绿跌/亏。退出、费用、净R、MAE、MFE和纪律偏差在交易完成后回填。</x:v>
      </x:c>
      <x:c r="W2" s="157" t="str">
        <x:v>低位首板与主线核心回踩必须分开统计；红涨/盈，绿跌/亏。退出、费用、净R、MAE、MFE和纪律偏差在交易完成后回填。</x:v>
      </x:c>
      <x:c r="X2" s="157" t="str">
        <x:v>低位首板与主线核心回踩必须分开统计；红涨/盈，绿跌/亏。退出、费用、净R、MAE、MFE和纪律偏差在交易完成后回填。</x:v>
      </x:c>
    </x:row>
    <x:row r="3">
      <x:c r="A3" s="158"/>
      <x:c r="B3" s="158"/>
      <x:c r="C3" s="158"/>
      <x:c r="D3" s="158"/>
      <x:c r="E3" s="158"/>
      <x:c r="F3" s="158"/>
      <x:c r="G3" s="158"/>
      <x:c r="H3" s="158"/>
      <x:c r="I3" s="158"/>
      <x:c r="J3" s="158"/>
      <x:c r="K3" s="158"/>
      <x:c r="L3" s="158"/>
      <x:c r="M3" s="158"/>
      <x:c r="N3" s="158"/>
      <x:c r="O3" s="158"/>
      <x:c r="P3" s="158"/>
      <x:c r="Q3" s="158"/>
      <x:c r="R3" s="158"/>
      <x:c r="S3" s="158"/>
      <x:c r="T3" s="158"/>
      <x:c r="U3" s="158"/>
      <x:c r="V3" s="158"/>
      <x:c r="W3" s="158"/>
      <x:c r="X3" s="158"/>
    </x:row>
    <x:row r="4">
      <x:c r="A4" s="159" t="str">
        <x:v>trade_id</x:v>
      </x:c>
      <x:c r="B4" s="159" t="str">
        <x:v>快照ID</x:v>
      </x:c>
      <x:c r="C4" s="159" t="str">
        <x:v>入场日期</x:v>
      </x:c>
      <x:c r="D4" s="159" t="str">
        <x:v>模式</x:v>
      </x:c>
      <x:c r="E4" s="159" t="str">
        <x:v>代码</x:v>
      </x:c>
      <x:c r="F4" s="159" t="str">
        <x:v>证券</x:v>
      </x:c>
      <x:c r="G4" s="159" t="str">
        <x:v>板块</x:v>
      </x:c>
      <x:c r="H4" s="159" t="str">
        <x:v>层级</x:v>
      </x:c>
      <x:c r="I4" s="159" t="str">
        <x:v>成交均价（推定）</x:v>
      </x:c>
      <x:c r="J4" s="159" t="str">
        <x:v>券商成本价</x:v>
      </x:c>
      <x:c r="K4" s="159" t="str">
        <x:v>结构失效价</x:v>
      </x:c>
      <x:c r="L4" s="159" t="str">
        <x:v>第一压力</x:v>
      </x:c>
      <x:c r="M4" s="159" t="str">
        <x:v>股数</x:v>
      </x:c>
      <x:c r="N4" s="159" t="str">
        <x:v>买入名义金额</x:v>
      </x:c>
      <x:c r="O4" s="159" t="str">
        <x:v>可卖股数</x:v>
      </x:c>
      <x:c r="P4" s="159" t="str">
        <x:v>锁定股数</x:v>
      </x:c>
      <x:c r="Q4" s="159" t="str">
        <x:v>退出日期</x:v>
      </x:c>
      <x:c r="R4" s="159" t="str">
        <x:v>退出均价</x:v>
      </x:c>
      <x:c r="S4" s="159" t="str">
        <x:v>毛盈亏</x:v>
      </x:c>
      <x:c r="T4" s="159" t="str">
        <x:v>净盈亏</x:v>
      </x:c>
      <x:c r="U4" s="159" t="str">
        <x:v>净R</x:v>
      </x:c>
      <x:c r="V4" s="159" t="str">
        <x:v>MAE</x:v>
      </x:c>
      <x:c r="W4" s="159" t="str">
        <x:v>MFE</x:v>
      </x:c>
      <x:c r="X4" s="159" t="str">
        <x:v>纪律/退出原因</x:v>
      </x:c>
    </x:row>
    <x:row r="5">
      <x:c r="A5" s="160" t="str">
        <x:v>T20260902-001</x:v>
      </x:c>
      <x:c r="B5" s="160" t="str">
        <x:v>ASU-20260902-100402-600172-603045</x:v>
      </x:c>
      <x:c r="C5" s="161" t="n">
        <x:v>46267</x:v>
      </x:c>
      <x:c r="D5" s="160" t="str">
        <x:v>待确认/模式外</x:v>
      </x:c>
      <x:c r="E5" s="160" t="str">
        <x:v>600172</x:v>
      </x:c>
      <x:c r="F5" s="160" t="str">
        <x:v>黄河旋风</x:v>
      </x:c>
      <x:c r="G5" s="160" t="str">
        <x:v>通用设备/超硬材料</x:v>
      </x:c>
      <x:c r="H5" s="160" t="str">
        <x:v>待确认</x:v>
      </x:c>
      <x:c r="I5" s="162" t="n">
        <x:v>14.569</x:v>
      </x:c>
      <x:c r="J5" s="162" t="n">
        <x:v>14.569</x:v>
      </x:c>
      <x:c r="K5" s="162" t="n">
        <x:v>14.16</x:v>
      </x:c>
      <x:c r="L5" s="162" t="n">
        <x:v>15.5</x:v>
      </x:c>
      <x:c r="M5" s="163" t="n">
        <x:v>600</x:v>
      </x:c>
      <x:c r="N5" s="164" t="n">
        <x:f>I5*M5</x:f>
        <x:v>8741.4</x:v>
      </x:c>
      <x:c r="O5" s="165" t="n">
        <x:f>0</x:f>
        <x:v>0</x:v>
      </x:c>
      <x:c r="P5" s="160" t="n">
        <x:f>IF(Q5&lt;&gt;"",0,M5-O5)</x:f>
        <x:v>0</x:v>
      </x:c>
      <x:c r="Q5" s="166" t="n">
        <x:v>46268</x:v>
      </x:c>
      <x:c r="R5" s="162" t="n">
        <x:v>15</x:v>
      </x:c>
      <x:c r="S5" s="167" t="n">
        <x:f>IF(R5="","",(R5-I5)*M5)</x:f>
        <x:v>258.5999999999995</x:v>
      </x:c>
      <x:c r="T5" s="167"/>
      <x:c r="U5" s="168"/>
      <x:c r="V5" s="169"/>
      <x:c r="W5" s="169"/>
      <x:c r="X5" s="163" t="str">
        <x:v>15.00全部止盈；按成本口径毛盈利约258.60元，实际净额待交割单</x:v>
      </x:c>
    </x:row>
    <x:row r="6">
      <x:c r="A6" s="160" t="str">
        <x:v>T20260902-002</x:v>
      </x:c>
      <x:c r="B6" s="160" t="str">
        <x:v>ASU-20260902-100402-600172-603045</x:v>
      </x:c>
      <x:c r="C6" s="161" t="n">
        <x:v>46267</x:v>
      </x:c>
      <x:c r="D6" s="160" t="str">
        <x:v>待确认/模式外</x:v>
      </x:c>
      <x:c r="E6" s="160" t="str">
        <x:v>603045</x:v>
      </x:c>
      <x:c r="F6" s="160" t="str">
        <x:v>福达合金</x:v>
      </x:c>
      <x:c r="G6" s="160" t="str">
        <x:v>金属新材料</x:v>
      </x:c>
      <x:c r="H6" s="160" t="str">
        <x:v>待确认</x:v>
      </x:c>
      <x:c r="I6" s="162" t="n">
        <x:v>54.166</x:v>
      </x:c>
      <x:c r="J6" s="162" t="n">
        <x:v>54.166</x:v>
      </x:c>
      <x:c r="K6" s="162" t="n">
        <x:v>53.78</x:v>
      </x:c>
      <x:c r="L6" s="162" t="n">
        <x:v>55.3</x:v>
      </x:c>
      <x:c r="M6" s="163" t="n">
        <x:v>200</x:v>
      </x:c>
      <x:c r="N6" s="164" t="n">
        <x:f>I6*M6</x:f>
        <x:v>10833.199999999999</x:v>
      </x:c>
      <x:c r="O6" s="165" t="n">
        <x:f>0</x:f>
        <x:v>0</x:v>
      </x:c>
      <x:c r="P6" s="160" t="n">
        <x:f>IF(Q6&lt;&gt;"",0,M6-O6)</x:f>
        <x:v>0</x:v>
      </x:c>
      <x:c r="Q6" s="166" t="n">
        <x:v>46268</x:v>
      </x:c>
      <x:c r="R6" s="162" t="n">
        <x:v>53.87</x:v>
      </x:c>
      <x:c r="S6" s="167" t="n">
        <x:f>IF(R6="","",(R6-I6)*M6)</x:f>
        <x:v>-59.199999999999875</x:v>
      </x:c>
      <x:c r="T6" s="167"/>
      <x:c r="U6" s="168"/>
      <x:c r="V6" s="169"/>
      <x:c r="W6" s="169"/>
      <x:c r="X6" s="163" t="str">
        <x:v>原53.78失效后于下一可卖日53.87止损；按成本口径毛亏约59.20元</x:v>
      </x:c>
    </x:row>
    <x:row r="7">
      <x:c r="A7" s="160" t="str">
        <x:v>T20260903-003</x:v>
      </x:c>
      <x:c r="B7" s="160" t="str">
        <x:v>ASU-20260903-100827-000925-601212</x:v>
      </x:c>
      <x:c r="C7" s="161" t="n">
        <x:v>46268</x:v>
      </x:c>
      <x:c r="D7" s="160" t="str">
        <x:v>待确认/模式外</x:v>
      </x:c>
      <x:c r="E7" s="160" t="str">
        <x:v>000925</x:v>
      </x:c>
      <x:c r="F7" s="160" t="str">
        <x:v>众合科技</x:v>
      </x:c>
      <x:c r="G7" s="160" t="str">
        <x:v>轨道交通设备/算力概念</x:v>
      </x:c>
      <x:c r="H7" s="160" t="str">
        <x:v>待确认</x:v>
      </x:c>
      <x:c r="I7" s="162" t="n">
        <x:v>8.805</x:v>
      </x:c>
      <x:c r="J7" s="162" t="n">
        <x:v>8.805</x:v>
      </x:c>
      <x:c r="K7" s="162"/>
      <x:c r="L7" s="162"/>
      <x:c r="M7" s="163" t="n">
        <x:v>1100</x:v>
      </x:c>
      <x:c r="N7" s="164" t="n">
        <x:f>I7*M7</x:f>
        <x:v>9685.5</x:v>
      </x:c>
      <x:c r="O7" s="165" t="n">
        <x:f>0</x:f>
        <x:v>0</x:v>
      </x:c>
      <x:c r="P7" s="160" t="n">
        <x:f>IF(Q7&lt;&gt;"",0,M7-O7)</x:f>
        <x:v>0</x:v>
      </x:c>
      <x:c r="Q7" s="166" t="n">
        <x:v>46269</x:v>
      </x:c>
      <x:c r="R7" s="162" t="n">
        <x:v>8.53</x:v>
      </x:c>
      <x:c r="S7" s="167" t="n">
        <x:f>IF(R7="","",(R7-I7)*M7)</x:f>
        <x:v>-302.5000000000004</x:v>
      </x:c>
      <x:c r="T7" s="167"/>
      <x:c r="U7" s="168"/>
      <x:c r="V7" s="169"/>
      <x:c r="W7" s="169"/>
      <x:c r="X7" s="163" t="str">
        <x:v>原买入为UNPLANNED_OPEN_BUY；9月4日8.530全部退出，按成本口径毛亏约302.50元；纠正及时，费用待交割单</x:v>
      </x:c>
    </x:row>
    <x:row r="8">
      <x:c r="A8" s="160" t="str">
        <x:v>T20260903-004</x:v>
      </x:c>
      <x:c r="B8" s="160" t="str">
        <x:v>ASU-20260903-100827-000925-601212</x:v>
      </x:c>
      <x:c r="C8" s="161" t="n">
        <x:v>46268</x:v>
      </x:c>
      <x:c r="D8" s="160" t="str">
        <x:v>待确认/模式外</x:v>
      </x:c>
      <x:c r="E8" s="160" t="str">
        <x:v>601212</x:v>
      </x:c>
      <x:c r="F8" s="160" t="str">
        <x:v>白银有色</x:v>
      </x:c>
      <x:c r="G8" s="160" t="str">
        <x:v>工业金属/贵金属</x:v>
      </x:c>
      <x:c r="H8" s="160" t="str">
        <x:v>待确认</x:v>
      </x:c>
      <x:c r="I8" s="162" t="n">
        <x:v>6.9</x:v>
      </x:c>
      <x:c r="J8" s="162" t="n">
        <x:v>6.9</x:v>
      </x:c>
      <x:c r="K8" s="162"/>
      <x:c r="L8" s="162"/>
      <x:c r="M8" s="163" t="n">
        <x:v>1400</x:v>
      </x:c>
      <x:c r="N8" s="164" t="n">
        <x:f>I8*M8</x:f>
        <x:v>9660</x:v>
      </x:c>
      <x:c r="O8" s="165" t="n">
        <x:f>0</x:f>
        <x:v>0</x:v>
      </x:c>
      <x:c r="P8" s="160" t="n">
        <x:f>IF(Q8&lt;&gt;"",0,M8-O8)</x:f>
        <x:v>0</x:v>
      </x:c>
      <x:c r="Q8" s="166" t="n">
        <x:v>46269</x:v>
      </x:c>
      <x:c r="R8" s="162" t="n">
        <x:v>7.3</x:v>
      </x:c>
      <x:c r="S8" s="167" t="n">
        <x:f>IF(R8="","",(R8-I8)*M8)</x:f>
        <x:v>559.9999999999992</x:v>
      </x:c>
      <x:c r="T8" s="167"/>
      <x:c r="U8" s="168"/>
      <x:c r="V8" s="169"/>
      <x:c r="W8" s="169"/>
      <x:c r="X8" s="163" t="str">
        <x:v>9月4日7.300全部卖出，按成本口径毛盈利约560.00元；锁定利润，但原交易缺少事前L/T/Emax</x:v>
      </x:c>
    </x:row>
    <x:row r="9">
      <x:c r="A9" s="158" t="str">
        <x:v>T20260904-005</x:v>
      </x:c>
      <x:c r="B9" s="158" t="str">
        <x:v>ASU-20260904-171601-000560-002498-600547</x:v>
      </x:c>
      <x:c r="C9" s="202" t="n">
        <x:v>46269</x:v>
      </x:c>
      <x:c r="D9" s="158" t="str">
        <x:v>模式外/高位打板</x:v>
      </x:c>
      <x:c r="E9" s="158" t="str">
        <x:v>000560</x:v>
      </x:c>
      <x:c r="F9" s="158" t="str">
        <x:v>我爱我家</x:v>
      </x:c>
      <x:c r="G9" s="158" t="str">
        <x:v>房地产服务</x:v>
      </x:c>
      <x:c r="H9" s="158" t="str">
        <x:v>高位活跃/核心性未确认</x:v>
      </x:c>
      <x:c r="I9" s="170" t="n">
        <x:v>3.15</x:v>
      </x:c>
      <x:c r="J9" s="170"/>
      <x:c r="K9" s="170"/>
      <x:c r="L9" s="170"/>
      <x:c r="M9" s="170" t="n">
        <x:v>3200</x:v>
      </x:c>
      <x:c r="N9" s="158" t="n">
        <x:f>I9*M9</x:f>
        <x:v>10080</x:v>
      </x:c>
      <x:c r="O9" s="171" t="n">
        <x:v>0</x:v>
      </x:c>
      <x:c r="P9" s="158" t="n">
        <x:v>0</x:v>
      </x:c>
      <x:c r="Q9" s="172" t="n">
        <x:v>46272</x:v>
      </x:c>
      <x:c r="R9" s="173" t="n">
        <x:v>3.3</x:v>
      </x:c>
      <x:c r="S9" s="174" t="n">
        <x:f>(R9-I9)*M9</x:f>
        <x:v>479.9999999999997</x:v>
      </x:c>
      <x:c r="T9" s="174"/>
      <x:c r="U9" s="175"/>
      <x:c r="V9" s="176"/>
      <x:c r="W9" s="176"/>
      <x:c r="X9" s="170" t="str">
        <x:v>9月7日旧仓3200股全部卖出；3.15原成本仍为推定，价差盈利480元待核实。新仓另记。</x:v>
      </x:c>
    </x:row>
    <x:row r="10">
      <x:c r="A10" s="158" t="str">
        <x:v>T20260904-006</x:v>
      </x:c>
      <x:c r="B10" s="158" t="str">
        <x:v>ASU-20260904-171601-000560-002498-600547</x:v>
      </x:c>
      <x:c r="C10" s="202" t="n">
        <x:v>46269</x:v>
      </x:c>
      <x:c r="D10" s="158" t="str">
        <x:v>待验证/回踩</x:v>
      </x:c>
      <x:c r="E10" s="158" t="str">
        <x:v>002498</x:v>
      </x:c>
      <x:c r="F10" s="158" t="str">
        <x:v>汉缆股份</x:v>
      </x:c>
      <x:c r="G10" s="158" t="str">
        <x:v>电网设备</x:v>
      </x:c>
      <x:c r="H10" s="158" t="str">
        <x:v>核心性未确认</x:v>
      </x:c>
      <x:c r="I10" s="170" t="n">
        <x:v>6.714</x:v>
      </x:c>
      <x:c r="J10" s="170"/>
      <x:c r="K10" s="170"/>
      <x:c r="L10" s="170"/>
      <x:c r="M10" s="170" t="n">
        <x:v>1400</x:v>
      </x:c>
      <x:c r="N10" s="158" t="n">
        <x:f>I10*M10</x:f>
        <x:v>9399.6</x:v>
      </x:c>
      <x:c r="O10" s="171" t="n">
        <x:v>0</x:v>
      </x:c>
      <x:c r="P10" s="158" t="n">
        <x:v>0</x:v>
      </x:c>
      <x:c r="Q10" s="172" t="n">
        <x:v>46272</x:v>
      </x:c>
      <x:c r="R10" s="173" t="n">
        <x:v>6.44</x:v>
      </x:c>
      <x:c r="S10" s="174" t="n">
        <x:f>(R10-I10)*M10</x:f>
        <x:v>-383.6</x:v>
      </x:c>
      <x:c r="T10" s="174"/>
      <x:c r="U10" s="175"/>
      <x:c r="V10" s="176"/>
      <x:c r="W10" s="176"/>
      <x:c r="X10" s="170" t="str">
        <x:v>9月7日1400股全部卖出；价差亏损383.60元。跌破6.52后退出，是否延迟待成交时间核验。</x:v>
      </x:c>
    </x:row>
    <x:row r="11">
      <x:c r="A11" s="158" t="str">
        <x:v>T20260904-007</x:v>
      </x:c>
      <x:c r="B11" s="158" t="str">
        <x:v>ASU-20260904-171601-000560-002498-600547</x:v>
      </x:c>
      <x:c r="C11" s="202" t="n">
        <x:v>46269</x:v>
      </x:c>
      <x:c r="D11" s="158" t="str">
        <x:v>模式外/容量追高</x:v>
      </x:c>
      <x:c r="E11" s="158" t="str">
        <x:v>600547</x:v>
      </x:c>
      <x:c r="F11" s="158" t="str">
        <x:v>山东黄金</x:v>
      </x:c>
      <x:c r="G11" s="158" t="str">
        <x:v>贵金属</x:v>
      </x:c>
      <x:c r="H11" s="158" t="str">
        <x:v>容量核心性未确认</x:v>
      </x:c>
      <x:c r="I11" s="170" t="n">
        <x:v>38.416</x:v>
      </x:c>
      <x:c r="J11" s="170"/>
      <x:c r="K11" s="170"/>
      <x:c r="L11" s="170"/>
      <x:c r="M11" s="170" t="n">
        <x:v>200</x:v>
      </x:c>
      <x:c r="N11" s="158" t="n">
        <x:f>I11*M11</x:f>
        <x:v>7683.199999999999</x:v>
      </x:c>
      <x:c r="O11" s="171" t="n">
        <x:v>0</x:v>
      </x:c>
      <x:c r="P11" s="158" t="n">
        <x:v>0</x:v>
      </x:c>
      <x:c r="Q11" s="172" t="n">
        <x:v>46272</x:v>
      </x:c>
      <x:c r="R11" s="173" t="n">
        <x:v>37.01</x:v>
      </x:c>
      <x:c r="S11" s="215" t="n">
        <x:f>(R11-I11)*M11</x:f>
        <x:v>-281.19999999999976</x:v>
      </x:c>
      <x:c r="T11" s="174"/>
      <x:c r="U11" s="175"/>
      <x:c r="V11" s="176"/>
      <x:c r="W11" s="176"/>
      <x:c r="X11" s="170" t="str">
        <x:v>9月7日200股全部卖出。用户所述37.01按卖出均价记录，原买入成本38.416保留。价差亏损281.20元，实际费用及成交时间待核。</x:v>
      </x:c>
    </x:row>
    <x:row r="12">
      <x:c r="A12" s="158" t="str">
        <x:v>T20260907-008</x:v>
      </x:c>
      <x:c r="B12" s="158" t="str">
        <x:v>ASU-20260907-1019-REVIEW</x:v>
      </x:c>
      <x:c r="C12" s="202" t="n">
        <x:v>46272</x:v>
      </x:c>
      <x:c r="D12" s="158" t="str">
        <x:v>待验证/突破追涨</x:v>
      </x:c>
      <x:c r="E12" s="158" t="str">
        <x:v>300189</x:v>
      </x:c>
      <x:c r="F12" s="158" t="str">
        <x:v>神农种业</x:v>
      </x:c>
      <x:c r="G12" s="158" t="str">
        <x:v>种业</x:v>
      </x:c>
      <x:c r="H12" s="158" t="str">
        <x:v>活跃前排/核心未确认</x:v>
      </x:c>
      <x:c r="I12" s="170" t="n">
        <x:v>7.834</x:v>
      </x:c>
      <x:c r="J12" s="170"/>
      <x:c r="K12" s="170"/>
      <x:c r="L12" s="170"/>
      <x:c r="M12" s="170" t="n">
        <x:v>1200</x:v>
      </x:c>
      <x:c r="N12" s="212" t="n">
        <x:f>IF(M12="","",I12*M12)</x:f>
        <x:v>9400.8</x:v>
      </x:c>
      <x:c r="O12" s="171" t="n">
        <x:v>0</x:v>
      </x:c>
      <x:c r="P12" s="158" t="n">
        <x:f>IF(M12="","",M12)</x:f>
        <x:v>1200</x:v>
      </x:c>
      <x:c r="Q12" s="172"/>
      <x:c r="R12" s="173"/>
      <x:c r="S12" s="174"/>
      <x:c r="T12" s="174"/>
      <x:c r="U12" s="175"/>
      <x:c r="V12" s="176"/>
      <x:c r="W12" s="176"/>
      <x:c r="X12" s="170" t="str">
        <x:v>1200股已确认。买价较前收高11.12%；非典型温和回调。按3万元假设超过20cm单股仓位及隔夜压力上限。买入时间、L/T和费用待补。</x:v>
      </x:c>
    </x:row>
    <x:row r="13">
      <x:c r="A13" s="158" t="str">
        <x:v>T20260907-009</x:v>
      </x:c>
      <x:c r="B13" s="158" t="str">
        <x:v>ASU-20260907-1019-REVIEW</x:v>
      </x:c>
      <x:c r="C13" s="202" t="n">
        <x:v>46272</x:v>
      </x:c>
      <x:c r="D13" s="158" t="str">
        <x:v>模式外/高位加仓</x:v>
      </x:c>
      <x:c r="E13" s="158" t="str">
        <x:v>000560</x:v>
      </x:c>
      <x:c r="F13" s="158" t="str">
        <x:v>我爱我家</x:v>
      </x:c>
      <x:c r="G13" s="158" t="str">
        <x:v>房地产服务</x:v>
      </x:c>
      <x:c r="H13" s="158" t="str">
        <x:v>高位活跃</x:v>
      </x:c>
      <x:c r="I13" s="170" t="n">
        <x:v>3.22</x:v>
      </x:c>
      <x:c r="J13" s="170"/>
      <x:c r="K13" s="170"/>
      <x:c r="L13" s="170"/>
      <x:c r="M13" s="170"/>
      <x:c r="N13" s="212" t="str">
        <x:f>IF(M13="","",I13*M13)</x:f>
      </x:c>
      <x:c r="O13" s="171" t="n">
        <x:v>0</x:v>
      </x:c>
      <x:c r="P13" s="158" t="str">
        <x:f>IF(M13="","",M13)</x:f>
      </x:c>
      <x:c r="Q13" s="172"/>
      <x:c r="R13" s="173"/>
      <x:c r="S13" s="174"/>
      <x:c r="T13" s="174"/>
      <x:c r="U13" s="175"/>
      <x:c r="V13" s="176"/>
      <x:c r="W13" s="176"/>
      <x:c r="X13" s="170" t="str">
        <x:v>3.22新增股数待补，禁止沿用旧仓3200股。今日新股T+1锁定；买卖顺序和加仓时风险占用待核实。</x:v>
      </x:c>
    </x:row>
    <x:row r="14">
      <x:c r="A14" s="158"/>
      <x:c r="B14" s="158"/>
      <x:c r="C14" s="158"/>
      <x:c r="D14" s="158"/>
      <x:c r="E14" s="158"/>
      <x:c r="F14" s="158"/>
      <x:c r="G14" s="158"/>
      <x:c r="H14" s="158"/>
      <x:c r="I14" s="170"/>
      <x:c r="J14" s="170"/>
      <x:c r="K14" s="170"/>
      <x:c r="L14" s="170"/>
      <x:c r="M14" s="170"/>
      <x:c r="N14" s="158"/>
      <x:c r="O14" s="171"/>
      <x:c r="P14" s="158"/>
      <x:c r="Q14" s="172"/>
      <x:c r="R14" s="173"/>
      <x:c r="S14" s="174"/>
      <x:c r="T14" s="174"/>
      <x:c r="U14" s="175"/>
      <x:c r="V14" s="176"/>
      <x:c r="W14" s="176"/>
      <x:c r="X14" s="170"/>
    </x:row>
    <x:row r="15">
      <x:c r="A15" s="158"/>
      <x:c r="B15" s="158"/>
      <x:c r="C15" s="158"/>
      <x:c r="D15" s="158"/>
      <x:c r="E15" s="158"/>
      <x:c r="F15" s="158"/>
      <x:c r="G15" s="158"/>
      <x:c r="H15" s="158"/>
      <x:c r="I15" s="170"/>
      <x:c r="J15" s="170"/>
      <x:c r="K15" s="170"/>
      <x:c r="L15" s="170"/>
      <x:c r="M15" s="170"/>
      <x:c r="N15" s="158"/>
      <x:c r="O15" s="171"/>
      <x:c r="P15" s="158"/>
      <x:c r="Q15" s="172"/>
      <x:c r="R15" s="173"/>
      <x:c r="S15" s="174"/>
      <x:c r="T15" s="174"/>
      <x:c r="U15" s="175"/>
      <x:c r="V15" s="176"/>
      <x:c r="W15" s="176"/>
      <x:c r="X15" s="170"/>
    </x:row>
    <x:row r="16">
      <x:c r="A16" s="158"/>
      <x:c r="B16" s="158"/>
      <x:c r="C16" s="158"/>
      <x:c r="D16" s="158"/>
      <x:c r="E16" s="158"/>
      <x:c r="F16" s="158"/>
      <x:c r="G16" s="158"/>
      <x:c r="H16" s="158"/>
      <x:c r="I16" s="170"/>
      <x:c r="J16" s="170"/>
      <x:c r="K16" s="170"/>
      <x:c r="L16" s="170"/>
      <x:c r="M16" s="170"/>
      <x:c r="N16" s="158"/>
      <x:c r="O16" s="171"/>
      <x:c r="P16" s="158"/>
      <x:c r="Q16" s="172"/>
      <x:c r="R16" s="173"/>
      <x:c r="S16" s="174"/>
      <x:c r="T16" s="174"/>
      <x:c r="U16" s="175"/>
      <x:c r="V16" s="176"/>
      <x:c r="W16" s="176"/>
      <x:c r="X16" s="170"/>
    </x:row>
    <x:row r="17">
      <x:c r="A17" s="158"/>
      <x:c r="B17" s="158"/>
      <x:c r="C17" s="158"/>
      <x:c r="D17" s="158"/>
      <x:c r="E17" s="158"/>
      <x:c r="F17" s="158"/>
      <x:c r="G17" s="158"/>
      <x:c r="H17" s="158"/>
      <x:c r="I17" s="170"/>
      <x:c r="J17" s="170"/>
      <x:c r="K17" s="170"/>
      <x:c r="L17" s="170"/>
      <x:c r="M17" s="170"/>
      <x:c r="N17" s="158"/>
      <x:c r="O17" s="171"/>
      <x:c r="P17" s="158"/>
      <x:c r="Q17" s="172"/>
      <x:c r="R17" s="173"/>
      <x:c r="S17" s="174"/>
      <x:c r="T17" s="174"/>
      <x:c r="U17" s="175"/>
      <x:c r="V17" s="176"/>
      <x:c r="W17" s="176"/>
      <x:c r="X17" s="170"/>
    </x:row>
    <x:row r="18">
      <x:c r="A18" s="158"/>
      <x:c r="B18" s="158"/>
      <x:c r="C18" s="158"/>
      <x:c r="D18" s="158"/>
      <x:c r="E18" s="158"/>
      <x:c r="F18" s="158"/>
      <x:c r="G18" s="158"/>
      <x:c r="H18" s="158"/>
      <x:c r="I18" s="170"/>
      <x:c r="J18" s="170"/>
      <x:c r="K18" s="170"/>
      <x:c r="L18" s="170"/>
      <x:c r="M18" s="170"/>
      <x:c r="N18" s="158"/>
      <x:c r="O18" s="171"/>
      <x:c r="P18" s="158"/>
      <x:c r="Q18" s="172"/>
      <x:c r="R18" s="173"/>
      <x:c r="S18" s="174"/>
      <x:c r="T18" s="174"/>
      <x:c r="U18" s="175"/>
      <x:c r="V18" s="176"/>
      <x:c r="W18" s="176"/>
      <x:c r="X18" s="170"/>
    </x:row>
    <x:row r="19">
      <x:c r="A19" s="158"/>
      <x:c r="B19" s="158"/>
      <x:c r="C19" s="158"/>
      <x:c r="D19" s="158"/>
      <x:c r="E19" s="158"/>
      <x:c r="F19" s="158"/>
      <x:c r="G19" s="158"/>
      <x:c r="H19" s="158"/>
      <x:c r="I19" s="170"/>
      <x:c r="J19" s="170"/>
      <x:c r="K19" s="170"/>
      <x:c r="L19" s="170"/>
      <x:c r="M19" s="170"/>
      <x:c r="N19" s="158"/>
      <x:c r="O19" s="171"/>
      <x:c r="P19" s="158"/>
      <x:c r="Q19" s="172"/>
      <x:c r="R19" s="173"/>
      <x:c r="S19" s="174"/>
      <x:c r="T19" s="174"/>
      <x:c r="U19" s="175"/>
      <x:c r="V19" s="176"/>
      <x:c r="W19" s="176"/>
      <x:c r="X19" s="170"/>
    </x:row>
    <x:row r="20">
      <x:c r="A20" s="158"/>
      <x:c r="B20" s="158"/>
      <x:c r="C20" s="158"/>
      <x:c r="D20" s="158"/>
      <x:c r="E20" s="158"/>
      <x:c r="F20" s="158"/>
      <x:c r="G20" s="158"/>
      <x:c r="H20" s="158"/>
      <x:c r="I20" s="170"/>
      <x:c r="J20" s="170"/>
      <x:c r="K20" s="170"/>
      <x:c r="L20" s="170"/>
      <x:c r="M20" s="170"/>
      <x:c r="N20" s="158"/>
      <x:c r="O20" s="171"/>
      <x:c r="P20" s="158"/>
      <x:c r="Q20" s="172"/>
      <x:c r="R20" s="173"/>
      <x:c r="S20" s="174"/>
      <x:c r="T20" s="174"/>
      <x:c r="U20" s="175"/>
      <x:c r="V20" s="176"/>
      <x:c r="W20" s="176"/>
      <x:c r="X20" s="170"/>
    </x:row>
    <x:row r="21">
      <x:c r="A21" s="158"/>
      <x:c r="B21" s="158"/>
      <x:c r="C21" s="158"/>
      <x:c r="D21" s="158"/>
      <x:c r="E21" s="158"/>
      <x:c r="F21" s="158"/>
      <x:c r="G21" s="158"/>
      <x:c r="H21" s="158"/>
      <x:c r="I21" s="170"/>
      <x:c r="J21" s="170"/>
      <x:c r="K21" s="170"/>
      <x:c r="L21" s="170"/>
      <x:c r="M21" s="170"/>
      <x:c r="N21" s="158"/>
      <x:c r="O21" s="171"/>
      <x:c r="P21" s="158"/>
      <x:c r="Q21" s="172"/>
      <x:c r="R21" s="173"/>
      <x:c r="S21" s="174"/>
      <x:c r="T21" s="174"/>
      <x:c r="U21" s="175"/>
      <x:c r="V21" s="176"/>
      <x:c r="W21" s="176"/>
      <x:c r="X21" s="170"/>
    </x:row>
    <x:row r="22">
      <x:c r="A22" s="158"/>
      <x:c r="B22" s="158"/>
      <x:c r="C22" s="158"/>
      <x:c r="D22" s="158"/>
      <x:c r="E22" s="158"/>
      <x:c r="F22" s="158"/>
      <x:c r="G22" s="158"/>
      <x:c r="H22" s="158"/>
      <x:c r="I22" s="170"/>
      <x:c r="J22" s="170"/>
      <x:c r="K22" s="170"/>
      <x:c r="L22" s="170"/>
      <x:c r="M22" s="170"/>
      <x:c r="N22" s="158"/>
      <x:c r="O22" s="171"/>
      <x:c r="P22" s="158"/>
      <x:c r="Q22" s="172"/>
      <x:c r="R22" s="173"/>
      <x:c r="S22" s="174"/>
      <x:c r="T22" s="174"/>
      <x:c r="U22" s="175"/>
      <x:c r="V22" s="176"/>
      <x:c r="W22" s="176"/>
      <x:c r="X22" s="170"/>
    </x:row>
    <x:row r="23">
      <x:c r="A23" s="158"/>
      <x:c r="B23" s="158"/>
      <x:c r="C23" s="158"/>
      <x:c r="D23" s="158"/>
      <x:c r="E23" s="158"/>
      <x:c r="F23" s="158"/>
      <x:c r="G23" s="158"/>
      <x:c r="H23" s="158"/>
      <x:c r="I23" s="170"/>
      <x:c r="J23" s="170"/>
      <x:c r="K23" s="170"/>
      <x:c r="L23" s="170"/>
      <x:c r="M23" s="170"/>
      <x:c r="N23" s="158"/>
      <x:c r="O23" s="171"/>
      <x:c r="P23" s="158"/>
      <x:c r="Q23" s="172"/>
      <x:c r="R23" s="173"/>
      <x:c r="S23" s="174"/>
      <x:c r="T23" s="174"/>
      <x:c r="U23" s="175"/>
      <x:c r="V23" s="176"/>
      <x:c r="W23" s="176"/>
      <x:c r="X23" s="170"/>
    </x:row>
    <x:row r="24">
      <x:c r="A24" s="158"/>
      <x:c r="B24" s="158"/>
      <x:c r="C24" s="158"/>
      <x:c r="D24" s="158"/>
      <x:c r="E24" s="158"/>
      <x:c r="F24" s="158"/>
      <x:c r="G24" s="158"/>
      <x:c r="H24" s="158"/>
      <x:c r="I24" s="170"/>
      <x:c r="J24" s="170"/>
      <x:c r="K24" s="170"/>
      <x:c r="L24" s="170"/>
      <x:c r="M24" s="170"/>
      <x:c r="N24" s="158"/>
      <x:c r="O24" s="171"/>
      <x:c r="P24" s="158"/>
      <x:c r="Q24" s="172"/>
      <x:c r="R24" s="173"/>
      <x:c r="S24" s="174"/>
      <x:c r="T24" s="174"/>
      <x:c r="U24" s="175"/>
      <x:c r="V24" s="176"/>
      <x:c r="W24" s="176"/>
      <x:c r="X24" s="170"/>
    </x:row>
    <x:row r="25">
      <x:c r="A25" s="158"/>
      <x:c r="B25" s="158"/>
      <x:c r="C25" s="158"/>
      <x:c r="D25" s="158"/>
      <x:c r="E25" s="158"/>
      <x:c r="F25" s="158"/>
      <x:c r="G25" s="158"/>
      <x:c r="H25" s="158"/>
      <x:c r="I25" s="170"/>
      <x:c r="J25" s="170"/>
      <x:c r="K25" s="170"/>
      <x:c r="L25" s="170"/>
      <x:c r="M25" s="170"/>
      <x:c r="N25" s="158"/>
      <x:c r="O25" s="171"/>
      <x:c r="P25" s="158"/>
      <x:c r="Q25" s="172"/>
      <x:c r="R25" s="173"/>
      <x:c r="S25" s="174"/>
      <x:c r="T25" s="174"/>
      <x:c r="U25" s="175"/>
      <x:c r="V25" s="176"/>
      <x:c r="W25" s="176"/>
      <x:c r="X25" s="170"/>
    </x:row>
    <x:row r="26">
      <x:c r="A26" s="158"/>
      <x:c r="B26" s="158"/>
      <x:c r="C26" s="158"/>
      <x:c r="D26" s="158"/>
      <x:c r="E26" s="158"/>
      <x:c r="F26" s="158"/>
      <x:c r="G26" s="158"/>
      <x:c r="H26" s="158"/>
      <x:c r="I26" s="170"/>
      <x:c r="J26" s="170"/>
      <x:c r="K26" s="170"/>
      <x:c r="L26" s="170"/>
      <x:c r="M26" s="170"/>
      <x:c r="N26" s="158"/>
      <x:c r="O26" s="171"/>
      <x:c r="P26" s="158"/>
      <x:c r="Q26" s="172"/>
      <x:c r="R26" s="173"/>
      <x:c r="S26" s="174"/>
      <x:c r="T26" s="174"/>
      <x:c r="U26" s="175"/>
      <x:c r="V26" s="176"/>
      <x:c r="W26" s="176"/>
      <x:c r="X26" s="170"/>
    </x:row>
    <x:row r="27">
      <x:c r="A27" s="158"/>
      <x:c r="B27" s="158"/>
      <x:c r="C27" s="158"/>
      <x:c r="D27" s="158"/>
      <x:c r="E27" s="158"/>
      <x:c r="F27" s="158"/>
      <x:c r="G27" s="158"/>
      <x:c r="H27" s="158"/>
      <x:c r="I27" s="170"/>
      <x:c r="J27" s="170"/>
      <x:c r="K27" s="170"/>
      <x:c r="L27" s="170"/>
      <x:c r="M27" s="170"/>
      <x:c r="N27" s="158"/>
      <x:c r="O27" s="171"/>
      <x:c r="P27" s="158"/>
      <x:c r="Q27" s="172"/>
      <x:c r="R27" s="173"/>
      <x:c r="S27" s="174"/>
      <x:c r="T27" s="174"/>
      <x:c r="U27" s="175"/>
      <x:c r="V27" s="176"/>
      <x:c r="W27" s="176"/>
      <x:c r="X27" s="170"/>
    </x:row>
    <x:row r="28">
      <x:c r="A28" s="158"/>
      <x:c r="B28" s="158"/>
      <x:c r="C28" s="158"/>
      <x:c r="D28" s="158"/>
      <x:c r="E28" s="158"/>
      <x:c r="F28" s="158"/>
      <x:c r="G28" s="158"/>
      <x:c r="H28" s="158"/>
      <x:c r="I28" s="170"/>
      <x:c r="J28" s="170"/>
      <x:c r="K28" s="170"/>
      <x:c r="L28" s="170"/>
      <x:c r="M28" s="170"/>
      <x:c r="N28" s="158"/>
      <x:c r="O28" s="171"/>
      <x:c r="P28" s="158"/>
      <x:c r="Q28" s="172"/>
      <x:c r="R28" s="173"/>
      <x:c r="S28" s="174"/>
      <x:c r="T28" s="174"/>
      <x:c r="U28" s="175"/>
      <x:c r="V28" s="176"/>
      <x:c r="W28" s="176"/>
      <x:c r="X28" s="170"/>
    </x:row>
    <x:row r="29">
      <x:c r="A29" s="158"/>
      <x:c r="B29" s="158"/>
      <x:c r="C29" s="158"/>
      <x:c r="D29" s="158"/>
      <x:c r="E29" s="158"/>
      <x:c r="F29" s="158"/>
      <x:c r="G29" s="158"/>
      <x:c r="H29" s="158"/>
      <x:c r="I29" s="170"/>
      <x:c r="J29" s="170"/>
      <x:c r="K29" s="170"/>
      <x:c r="L29" s="170"/>
      <x:c r="M29" s="170"/>
      <x:c r="N29" s="158"/>
      <x:c r="O29" s="171"/>
      <x:c r="P29" s="158"/>
      <x:c r="Q29" s="172"/>
      <x:c r="R29" s="173"/>
      <x:c r="S29" s="174"/>
      <x:c r="T29" s="174"/>
      <x:c r="U29" s="175"/>
      <x:c r="V29" s="176"/>
      <x:c r="W29" s="176"/>
      <x:c r="X29" s="170"/>
    </x:row>
    <x:row r="30">
      <x:c r="A30" s="158"/>
      <x:c r="B30" s="158"/>
      <x:c r="C30" s="158"/>
      <x:c r="D30" s="158"/>
      <x:c r="E30" s="158"/>
      <x:c r="F30" s="158"/>
      <x:c r="G30" s="158"/>
      <x:c r="H30" s="158"/>
      <x:c r="I30" s="170"/>
      <x:c r="J30" s="170"/>
      <x:c r="K30" s="170"/>
      <x:c r="L30" s="170"/>
      <x:c r="M30" s="170"/>
      <x:c r="N30" s="158"/>
      <x:c r="O30" s="171"/>
      <x:c r="P30" s="158"/>
      <x:c r="Q30" s="172"/>
      <x:c r="R30" s="173"/>
      <x:c r="S30" s="174"/>
      <x:c r="T30" s="174"/>
      <x:c r="U30" s="175"/>
      <x:c r="V30" s="176"/>
      <x:c r="W30" s="176"/>
      <x:c r="X30" s="170"/>
    </x:row>
  </x:sheetData>
  <x:mergeCells>
    <x:mergeCell ref="A1:X1"/>
    <x:mergeCell ref="A2:X2"/>
  </x:mergeCells>
  <x:conditionalFormatting sqref="S5:W30">
    <x:cfRule type="cellIs" dxfId="13" priority="1" operator="greaterThan">
      <x:formula>0</x:formula>
    </x:cfRule>
    <x:cfRule type="cellIs" dxfId="14" priority="2" operator="lessThan">
      <x:formula>0</x:formula>
    </x:cfRule>
  </x:conditionalFormatting>
  <x:conditionalFormatting sqref="S5:S11">
    <x:cfRule type="cellIs" dxfId="23" priority="3" operator="greaterThan">
      <x:formula>0</x:formula>
    </x:cfRule>
    <x:cfRule type="cellIs" dxfId="24" priority="4" operator="lessThan">
      <x:formula>0</x:formula>
    </x:cfRule>
  </x:conditionalFormatting>
  <x:conditionalFormatting sqref="S9:S13">
    <x:cfRule type="cellIs" dxfId="29" priority="5" operator="greaterThan">
      <x:formula>0</x:formula>
    </x:cfRule>
    <x:cfRule type="cellIs" dxfId="30" priority="6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3" hidden="0" customWidth="1"/>
    <x:col min="3" max="3" width="2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4" hidden="0" customWidth="1"/>
    <x:col min="12" max="12" width="14" hidden="0" customWidth="1"/>
    <x:col min="13" max="13" width="14" hidden="0" customWidth="1"/>
    <x:col min="14" max="14" width="42" hidden="0" customWidth="1"/>
    <x:col min="15" max="15" width="42" hidden="0" customWidth="1"/>
  </x:cols>
  <x:sheetData>
    <x:row r="1" ht="32" customHeight="1">
      <x:c r="A1" s="156" t="str">
        <x:v>每日盘前/盘中运行记录</x:v>
      </x:c>
      <x:c r="B1" s="156" t="str">
        <x:v>每日盘前/盘中运行记录</x:v>
      </x:c>
      <x:c r="C1" s="156" t="str">
        <x:v>每日盘前/盘中运行记录</x:v>
      </x:c>
      <x:c r="D1" s="156" t="str">
        <x:v>每日盘前/盘中运行记录</x:v>
      </x:c>
      <x:c r="E1" s="156" t="str">
        <x:v>每日盘前/盘中运行记录</x:v>
      </x:c>
      <x:c r="F1" s="156" t="str">
        <x:v>每日盘前/盘中运行记录</x:v>
      </x:c>
      <x:c r="G1" s="156" t="str">
        <x:v>每日盘前/盘中运行记录</x:v>
      </x:c>
      <x:c r="H1" s="156" t="str">
        <x:v>每日盘前/盘中运行记录</x:v>
      </x:c>
      <x:c r="I1" s="156" t="str">
        <x:v>每日盘前/盘中运行记录</x:v>
      </x:c>
      <x:c r="J1" s="156" t="str">
        <x:v>每日盘前/盘中运行记录</x:v>
      </x:c>
      <x:c r="K1" s="156" t="str">
        <x:v>每日盘前/盘中运行记录</x:v>
      </x:c>
      <x:c r="L1" s="156" t="str">
        <x:v>每日盘前/盘中运行记录</x:v>
      </x:c>
      <x:c r="M1" s="156" t="str">
        <x:v>每日盘前/盘中运行记录</x:v>
      </x:c>
      <x:c r="N1" s="156" t="str">
        <x:v>每日盘前/盘中运行记录</x:v>
      </x:c>
      <x:c r="O1" s="156" t="str">
        <x:v>每日盘前/盘中运行记录</x:v>
      </x:c>
    </x:row>
    <x:row r="2">
      <x:c r="A2" s="157" t="str">
        <x:v>持仓总览、次日策略与来源检查每次覆盖；本表按快照ID追加，用于还原当时环境和结论。</x:v>
      </x:c>
      <x:c r="B2" s="157" t="str">
        <x:v>持仓总览、次日策略与来源检查每次覆盖；本表按快照ID追加，用于还原当时环境和结论。</x:v>
      </x:c>
      <x:c r="C2" s="157" t="str">
        <x:v>持仓总览、次日策略与来源检查每次覆盖；本表按快照ID追加，用于还原当时环境和结论。</x:v>
      </x:c>
      <x:c r="D2" s="157" t="str">
        <x:v>持仓总览、次日策略与来源检查每次覆盖；本表按快照ID追加，用于还原当时环境和结论。</x:v>
      </x:c>
      <x:c r="E2" s="157" t="str">
        <x:v>持仓总览、次日策略与来源检查每次覆盖；本表按快照ID追加，用于还原当时环境和结论。</x:v>
      </x:c>
      <x:c r="F2" s="157" t="str">
        <x:v>持仓总览、次日策略与来源检查每次覆盖；本表按快照ID追加，用于还原当时环境和结论。</x:v>
      </x:c>
      <x:c r="G2" s="157" t="str">
        <x:v>持仓总览、次日策略与来源检查每次覆盖；本表按快照ID追加，用于还原当时环境和结论。</x:v>
      </x:c>
      <x:c r="H2" s="157" t="str">
        <x:v>持仓总览、次日策略与来源检查每次覆盖；本表按快照ID追加，用于还原当时环境和结论。</x:v>
      </x:c>
      <x:c r="I2" s="157" t="str">
        <x:v>持仓总览、次日策略与来源检查每次覆盖；本表按快照ID追加，用于还原当时环境和结论。</x:v>
      </x:c>
      <x:c r="J2" s="157" t="str">
        <x:v>持仓总览、次日策略与来源检查每次覆盖；本表按快照ID追加，用于还原当时环境和结论。</x:v>
      </x:c>
      <x:c r="K2" s="157" t="str">
        <x:v>持仓总览、次日策略与来源检查每次覆盖；本表按快照ID追加，用于还原当时环境和结论。</x:v>
      </x:c>
      <x:c r="L2" s="157" t="str">
        <x:v>持仓总览、次日策略与来源检查每次覆盖；本表按快照ID追加，用于还原当时环境和结论。</x:v>
      </x:c>
      <x:c r="M2" s="157" t="str">
        <x:v>持仓总览、次日策略与来源检查每次覆盖；本表按快照ID追加，用于还原当时环境和结论。</x:v>
      </x:c>
      <x:c r="N2" s="157" t="str">
        <x:v>持仓总览、次日策略与来源检查每次覆盖；本表按快照ID追加，用于还原当时环境和结论。</x:v>
      </x:c>
      <x:c r="O2" s="157" t="str">
        <x:v>持仓总览、次日策略与来源检查每次覆盖；本表按快照ID追加，用于还原当时环境和结论。</x:v>
      </x:c>
    </x:row>
    <x:row r="3">
      <x:c r="A3" s="158"/>
      <x:c r="B3" s="158"/>
      <x:c r="C3" s="158"/>
      <x:c r="D3" s="158"/>
      <x:c r="E3" s="158"/>
      <x:c r="F3" s="158"/>
      <x:c r="G3" s="158"/>
      <x:c r="H3" s="158"/>
      <x:c r="I3" s="158"/>
      <x:c r="J3" s="158"/>
      <x:c r="K3" s="158"/>
      <x:c r="L3" s="158"/>
      <x:c r="M3" s="158"/>
      <x:c r="N3" s="158"/>
      <x:c r="O3" s="158"/>
    </x:row>
    <x:row r="4">
      <x:c r="A4" s="159" t="str">
        <x:v>快照ID</x:v>
      </x:c>
      <x:c r="B4" s="159" t="str">
        <x:v>生成时间</x:v>
      </x:c>
      <x:c r="C4" s="159" t="str">
        <x:v>数据截止</x:v>
      </x:c>
      <x:c r="D4" s="159" t="str">
        <x:v>运行阶段</x:v>
      </x:c>
      <x:c r="E4" s="159" t="str">
        <x:v>指数阶段</x:v>
      </x:c>
      <x:c r="F4" s="159" t="str">
        <x:v>情绪周期</x:v>
      </x:c>
      <x:c r="G4" s="159" t="str">
        <x:v>主线风格</x:v>
      </x:c>
      <x:c r="H4" s="159" t="str">
        <x:v>主线状态</x:v>
      </x:c>
      <x:c r="I4" s="159" t="str">
        <x:v>策略状态</x:v>
      </x:c>
      <x:c r="J4" s="159" t="str">
        <x:v>风险档</x:v>
      </x:c>
      <x:c r="K4" s="159" t="str">
        <x:v>总仓上限</x:v>
      </x:c>
      <x:c r="L4" s="159" t="str">
        <x:v>当前仓位</x:v>
      </x:c>
      <x:c r="M4" s="159" t="str">
        <x:v>新增权限</x:v>
      </x:c>
      <x:c r="N4" s="159" t="str">
        <x:v>结论</x:v>
      </x:c>
      <x:c r="O4" s="159" t="str">
        <x:v>缺失输入</x:v>
      </x:c>
    </x:row>
    <x:row r="5" ht="56" customHeight="1">
      <x:c r="A5" s="182" t="str">
        <x:v>ASU-20260902-105627-600172-603045</x:v>
      </x:c>
      <x:c r="B5" s="182" t="str">
        <x:v>2026-09-02 10:56:27+08:00</x:v>
      </x:c>
      <x:c r="C5" s="182" t="str">
        <x:v>2026-09-02 10:56:27+08:00</x:v>
      </x:c>
      <x:c r="D5" s="182" t="str">
        <x:v>盘中连续竞价</x:v>
      </x:c>
      <x:c r="E5" s="182" t="str">
        <x:v>待收盘确认（盘中下跌）</x:v>
      </x:c>
      <x:c r="F5" s="182" t="str">
        <x:v>退潮</x:v>
      </x:c>
      <x:c r="G5" s="182" t="str">
        <x:v>混合</x:v>
      </x:c>
      <x:c r="H5" s="182" t="str">
        <x:v>混合/未确认</x:v>
      </x:c>
      <x:c r="I5" s="182" t="str">
        <x:v>防守</x:v>
      </x:c>
      <x:c r="J5" s="182" t="str">
        <x:v>验证档</x:v>
      </x:c>
      <x:c r="K5" s="183" t="n">
        <x:v>0</x:v>
      </x:c>
      <x:c r="L5" s="183" t="n">
        <x:v>0.6703333333</x:v>
      </x:c>
      <x:c r="M5" s="184" t="str">
        <x:v>不新增</x:v>
      </x:c>
      <x:c r="N5" s="182" t="str">
        <x:v>只管理持仓：福达合金下一可卖日优先降风险；黄河旋风保护利润；两只均禁止加仓。</x:v>
      </x:c>
      <x:c r="O5" s="182" t="str">
        <x:v>实际佣金、真实账户净值、券商可卖数量、当日收盘数据</x:v>
      </x:c>
    </x:row>
    <x:row r="6" ht="56" customHeight="1">
      <x:c r="A6" s="182" t="str">
        <x:v>ASU-20260903-100827-000925-601212</x:v>
      </x:c>
      <x:c r="B6" s="182" t="str">
        <x:v>2026-09-03 10:08:27+08:00</x:v>
      </x:c>
      <x:c r="C6" s="182" t="str">
        <x:v>2026-09-03 10:08:27+08:00</x:v>
      </x:c>
      <x:c r="D6" s="182" t="str">
        <x:v>盘中连续竞价</x:v>
      </x:c>
      <x:c r="E6" s="182" t="str">
        <x:v>待收盘确认（盘中上涨）</x:v>
      </x:c>
      <x:c r="F6" s="182" t="str">
        <x:v>未知</x:v>
      </x:c>
      <x:c r="G6" s="182" t="str">
        <x:v>混合/未知</x:v>
      </x:c>
      <x:c r="H6" s="182" t="str">
        <x:v>未确认</x:v>
      </x:c>
      <x:c r="I6" s="182" t="str">
        <x:v>证据不足</x:v>
      </x:c>
      <x:c r="J6" s="182" t="str">
        <x:v>验证档</x:v>
      </x:c>
      <x:c r="K6" s="183" t="n">
        <x:v>0</x:v>
      </x:c>
      <x:c r="L6" s="183" t="n">
        <x:v>0.6416666667</x:v>
      </x:c>
      <x:c r="M6" s="184" t="str">
        <x:v>停止新增</x:v>
      </x:c>
      <x:c r="N6" s="182" t="str">
        <x:v>黄河旋风15.00止盈、福达合金53.87止损；已新开众合科技与白银有色。众合开盘无计划买入，今日停止新增，收盘后补齐结构。</x:v>
      </x:c>
      <x:c r="O6" s="182" t="str">
        <x:v>实际佣金、真实账户净值、券商可卖数量、两只新仓收盘结构失效价与第一压力</x:v>
      </x:c>
    </x:row>
    <x:row r="7">
      <x:c r="A7" s="158" t="str">
        <x:v>ASU-20260904-171601-000560-002498-600547</x:v>
      </x:c>
      <x:c r="B7" s="158" t="str">
        <x:v>2026-09-04 17:16:01+08:00</x:v>
      </x:c>
      <x:c r="C7" s="158" t="str">
        <x:v>2026-09-04 16:14:55+08:00</x:v>
      </x:c>
      <x:c r="D7" s="158" t="str">
        <x:v>盘后复盘</x:v>
      </x:c>
      <x:c r="E7" s="158" t="str">
        <x:v>未知（主要指数收跌）</x:v>
      </x:c>
      <x:c r="F7" s="158" t="str">
        <x:v>强分歧/轮动</x:v>
      </x:c>
      <x:c r="G7" s="158" t="str">
        <x:v>混合</x:v>
      </x:c>
      <x:c r="H7" s="158" t="str">
        <x:v>混合/未确认</x:v>
      </x:c>
      <x:c r="I7" s="158" t="str">
        <x:v>证据不足</x:v>
      </x:c>
      <x:c r="J7" s="158" t="str">
        <x:v>验证档</x:v>
      </x:c>
      <x:c r="K7" s="158" t="n">
        <x:v>0</x:v>
      </x:c>
      <x:c r="L7" s="158" t="n">
        <x:v>0.8971333333</x:v>
      </x:c>
      <x:c r="M7" s="158" t="str">
        <x:v>停止新增</x:v>
      </x:c>
      <x:c r="N7" s="158" t="str">
        <x:v>白银有色与众合科技已退出；新开我爱我家、汉缆股份、山东黄金。总仓约89.71%，三种逻辑并用且我爱我家不属于低位首板；下一交易日优先降风险。</x:v>
      </x:c>
      <x:c r="O7" s="158" t="str">
        <x:v>我爱我家实际成交均价、真实账户净值、实际费用、券商可卖数量、日/周回撤锁状态、三笔事前L/T/Emax</x:v>
      </x:c>
    </x:row>
    <x:row r="8">
      <x:c r="A8" s="158" t="str">
        <x:v>ASU-20260907-1019-REVIEW</x:v>
      </x:c>
      <x:c r="B8" s="158" t="str">
        <x:v>2026-09-07</x:v>
      </x:c>
      <x:c r="C8" s="158" t="str">
        <x:v>2026-09-07 10:18—10:19+08:00</x:v>
      </x:c>
      <x:c r="D8" s="158" t="str">
        <x:v>盘中复核</x:v>
      </x:c>
      <x:c r="E8" s="158" t="str">
        <x:v>未知（沪深分化）</x:v>
      </x:c>
      <x:c r="F8" s="158" t="str">
        <x:v>待完整统计</x:v>
      </x:c>
      <x:c r="G8" s="158" t="str">
        <x:v>混合/农业活跃</x:v>
      </x:c>
      <x:c r="H8" s="158" t="str">
        <x:v>未完整确认</x:v>
      </x:c>
      <x:c r="I8" s="158" t="str">
        <x:v>证据不足</x:v>
      </x:c>
      <x:c r="J8" s="158" t="str">
        <x:v>验证档</x:v>
      </x:c>
      <x:c r="K8" s="213" t="n">
        <x:v>0</x:v>
      </x:c>
      <x:c r="L8" s="213"/>
      <x:c r="M8" s="158" t="str">
        <x:v>暂停新增</x:v>
      </x:c>
      <x:c r="N8" s="158" t="str">
        <x:v>神农1200股已确认，20cm单股超限。两笔旧仓全卖，我爱新仓股数待补。</x:v>
      </x:c>
      <x:c r="O8" s="158" t="str">
        <x:v>我爱新仓股数、成交时间、账户净值、费用、山东黄金状态、日周回撤</x:v>
      </x:c>
    </x:row>
    <x:row r="9">
      <x:c r="A9" s="158" t="str">
        <x:v>ASU-20260907-104125-GOLD-EXIT</x:v>
      </x:c>
      <x:c r="B9" s="158" t="str">
        <x:v>2026-09-07 10:41:25+08:00</x:v>
      </x:c>
      <x:c r="C9" s="158" t="str">
        <x:v>行情10:18—10:19；成交由用户补充</x:v>
      </x:c>
      <x:c r="D9" s="158" t="str">
        <x:v>成交补充</x:v>
      </x:c>
      <x:c r="E9" s="158" t="str">
        <x:v>沿用上一快照</x:v>
      </x:c>
      <x:c r="F9" s="158" t="str">
        <x:v>沿用上一快照</x:v>
      </x:c>
      <x:c r="G9" s="158" t="str">
        <x:v>沿用上一快照</x:v>
      </x:c>
      <x:c r="H9" s="158" t="str">
        <x:v>未完整确认</x:v>
      </x:c>
      <x:c r="I9" s="158" t="str">
        <x:v>证据不足</x:v>
      </x:c>
      <x:c r="J9" s="158" t="str">
        <x:v>验证档</x:v>
      </x:c>
      <x:c r="K9" s="158" t="n">
        <x:v>0</x:v>
      </x:c>
      <x:c r="L9" s="158"/>
      <x:c r="M9" s="158" t="str">
        <x:v>暂停新增</x:v>
      </x:c>
      <x:c r="N9" s="158" t="str">
        <x:v>山东黄金200股全部卖出，37.01按卖出均价记录。当前剩神农和我爱新仓。</x:v>
      </x:c>
      <x:c r="O9" s="158" t="str">
        <x:v>我爱新增股数、账户净值、费用、实际成交时间与事前L/T</x:v>
      </x:c>
    </x:row>
    <x:row r="10">
      <x:c r="A10" s="158"/>
      <x:c r="B10" s="158"/>
      <x:c r="C10" s="158"/>
      <x:c r="D10" s="158"/>
      <x:c r="E10" s="158"/>
      <x:c r="F10" s="158"/>
      <x:c r="G10" s="158"/>
      <x:c r="H10" s="158"/>
      <x:c r="I10" s="158"/>
      <x:c r="J10" s="158"/>
      <x:c r="K10" s="158"/>
      <x:c r="L10" s="158"/>
      <x:c r="M10" s="158"/>
      <x:c r="N10" s="158"/>
      <x:c r="O10" s="158"/>
    </x:row>
    <x:row r="11">
      <x:c r="A11" s="158"/>
      <x:c r="B11" s="158"/>
      <x:c r="C11" s="158"/>
      <x:c r="D11" s="158"/>
      <x:c r="E11" s="158"/>
      <x:c r="F11" s="158"/>
      <x:c r="G11" s="158"/>
      <x:c r="H11" s="158"/>
      <x:c r="I11" s="158"/>
      <x:c r="J11" s="158"/>
      <x:c r="K11" s="158"/>
      <x:c r="L11" s="158"/>
      <x:c r="M11" s="158"/>
      <x:c r="N11" s="158"/>
      <x:c r="O11" s="158"/>
    </x:row>
    <x:row r="12">
      <x:c r="A12" s="158"/>
      <x:c r="B12" s="158"/>
      <x:c r="C12" s="158"/>
      <x:c r="D12" s="158"/>
      <x:c r="E12" s="158"/>
      <x:c r="F12" s="158"/>
      <x:c r="G12" s="158"/>
      <x:c r="H12" s="158"/>
      <x:c r="I12" s="158"/>
      <x:c r="J12" s="158"/>
      <x:c r="K12" s="158"/>
      <x:c r="L12" s="158"/>
      <x:c r="M12" s="158"/>
      <x:c r="N12" s="158"/>
      <x:c r="O12" s="158"/>
    </x:row>
    <x:row r="13">
      <x:c r="A13" s="158"/>
      <x:c r="B13" s="158"/>
      <x:c r="C13" s="158"/>
      <x:c r="D13" s="158"/>
      <x:c r="E13" s="158"/>
      <x:c r="F13" s="158"/>
      <x:c r="G13" s="158"/>
      <x:c r="H13" s="158"/>
      <x:c r="I13" s="158"/>
      <x:c r="J13" s="158"/>
      <x:c r="K13" s="158"/>
      <x:c r="L13" s="158"/>
      <x:c r="M13" s="158"/>
      <x:c r="N13" s="158"/>
      <x:c r="O13" s="158"/>
    </x:row>
    <x:row r="14">
      <x:c r="A14" s="158"/>
      <x:c r="B14" s="158"/>
      <x:c r="C14" s="158"/>
      <x:c r="D14" s="158"/>
      <x:c r="E14" s="158"/>
      <x:c r="F14" s="158"/>
      <x:c r="G14" s="158"/>
      <x:c r="H14" s="158"/>
      <x:c r="I14" s="158"/>
      <x:c r="J14" s="158"/>
      <x:c r="K14" s="158"/>
      <x:c r="L14" s="158"/>
      <x:c r="M14" s="158"/>
      <x:c r="N14" s="158"/>
      <x:c r="O14" s="158"/>
    </x:row>
    <x:row r="15">
      <x:c r="A15" s="158"/>
      <x:c r="B15" s="158"/>
      <x:c r="C15" s="158"/>
      <x:c r="D15" s="158"/>
      <x:c r="E15" s="158"/>
      <x:c r="F15" s="158"/>
      <x:c r="G15" s="158"/>
      <x:c r="H15" s="158"/>
      <x:c r="I15" s="158"/>
      <x:c r="J15" s="158"/>
      <x:c r="K15" s="158"/>
      <x:c r="L15" s="158"/>
      <x:c r="M15" s="158"/>
      <x:c r="N15" s="158"/>
      <x:c r="O15" s="158"/>
    </x:row>
    <x:row r="16">
      <x:c r="A16" s="158"/>
      <x:c r="B16" s="158"/>
      <x:c r="C16" s="158"/>
      <x:c r="D16" s="158"/>
      <x:c r="E16" s="158"/>
      <x:c r="F16" s="158"/>
      <x:c r="G16" s="158"/>
      <x:c r="H16" s="158"/>
      <x:c r="I16" s="158"/>
      <x:c r="J16" s="158"/>
      <x:c r="K16" s="158"/>
      <x:c r="L16" s="158"/>
      <x:c r="M16" s="158"/>
      <x:c r="N16" s="158"/>
      <x:c r="O16" s="158"/>
    </x:row>
    <x:row r="17">
      <x:c r="A17" s="158"/>
      <x:c r="B17" s="158"/>
      <x:c r="C17" s="158"/>
      <x:c r="D17" s="158"/>
      <x:c r="E17" s="158"/>
      <x:c r="F17" s="158"/>
      <x:c r="G17" s="158"/>
      <x:c r="H17" s="158"/>
      <x:c r="I17" s="158"/>
      <x:c r="J17" s="158"/>
      <x:c r="K17" s="158"/>
      <x:c r="L17" s="158"/>
      <x:c r="M17" s="158"/>
      <x:c r="N17" s="158"/>
      <x:c r="O17" s="158"/>
    </x:row>
    <x:row r="18">
      <x:c r="A18" s="158"/>
      <x:c r="B18" s="158"/>
      <x:c r="C18" s="158"/>
      <x:c r="D18" s="158"/>
      <x:c r="E18" s="158"/>
      <x:c r="F18" s="158"/>
      <x:c r="G18" s="158"/>
      <x:c r="H18" s="158"/>
      <x:c r="I18" s="158"/>
      <x:c r="J18" s="158"/>
      <x:c r="K18" s="158"/>
      <x:c r="L18" s="158"/>
      <x:c r="M18" s="158"/>
      <x:c r="N18" s="158"/>
      <x:c r="O18" s="158"/>
    </x:row>
    <x:row r="19">
      <x:c r="A19" s="158"/>
      <x:c r="B19" s="158"/>
      <x:c r="C19" s="158"/>
      <x:c r="D19" s="158"/>
      <x:c r="E19" s="158"/>
      <x:c r="F19" s="158"/>
      <x:c r="G19" s="158"/>
      <x:c r="H19" s="158"/>
      <x:c r="I19" s="158"/>
      <x:c r="J19" s="158"/>
      <x:c r="K19" s="158"/>
      <x:c r="L19" s="158"/>
      <x:c r="M19" s="158"/>
      <x:c r="N19" s="158"/>
      <x:c r="O19" s="158"/>
    </x:row>
    <x:row r="20">
      <x:c r="A20" s="158"/>
      <x:c r="B20" s="158"/>
      <x:c r="C20" s="158"/>
      <x:c r="D20" s="158"/>
      <x:c r="E20" s="158"/>
      <x:c r="F20" s="158"/>
      <x:c r="G20" s="158"/>
      <x:c r="H20" s="158"/>
      <x:c r="I20" s="158"/>
      <x:c r="J20" s="158"/>
      <x:c r="K20" s="158"/>
      <x:c r="L20" s="158"/>
      <x:c r="M20" s="158"/>
      <x:c r="N20" s="158"/>
      <x:c r="O20" s="158"/>
    </x:row>
  </x:sheetData>
  <x:mergeCells>
    <x:mergeCell ref="A1:O1"/>
    <x:mergeCell ref="A2:O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3" hidden="0" customWidth="1"/>
    <x:col min="3" max="3" width="12" hidden="0" customWidth="1"/>
    <x:col min="4" max="4" width="12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4" hidden="0" customWidth="1"/>
    <x:col min="15" max="15" width="52" hidden="0" customWidth="1"/>
    <x:col min="16" max="16" width="12" hidden="0" customWidth="1"/>
    <x:col min="17" max="17" width="40" hidden="0" customWidth="1"/>
  </x:cols>
  <x:sheetData>
    <x:row r="1" ht="32" customHeight="1">
      <x:c r="A1" s="156" t="str">
        <x:v>候选股评估与淘汰记录</x:v>
      </x:c>
      <x:c r="B1" s="156" t="str">
        <x:v>候选股评估与淘汰记录</x:v>
      </x:c>
      <x:c r="C1" s="156" t="str">
        <x:v>候选股评估与淘汰记录</x:v>
      </x:c>
      <x:c r="D1" s="156" t="str">
        <x:v>候选股评估与淘汰记录</x:v>
      </x:c>
      <x:c r="E1" s="156" t="str">
        <x:v>候选股评估与淘汰记录</x:v>
      </x:c>
      <x:c r="F1" s="156" t="str">
        <x:v>候选股评估与淘汰记录</x:v>
      </x:c>
      <x:c r="G1" s="156" t="str">
        <x:v>候选股评估与淘汰记录</x:v>
      </x:c>
      <x:c r="H1" s="156" t="str">
        <x:v>候选股评估与淘汰记录</x:v>
      </x:c>
      <x:c r="I1" s="156" t="str">
        <x:v>候选股评估与淘汰记录</x:v>
      </x:c>
      <x:c r="J1" s="156" t="str">
        <x:v>候选股评估与淘汰记录</x:v>
      </x:c>
      <x:c r="K1" s="156" t="str">
        <x:v>候选股评估与淘汰记录</x:v>
      </x:c>
      <x:c r="L1" s="156" t="str">
        <x:v>候选股评估与淘汰记录</x:v>
      </x:c>
      <x:c r="M1" s="156" t="str">
        <x:v>候选股评估与淘汰记录</x:v>
      </x:c>
      <x:c r="N1" s="156" t="str">
        <x:v>候选股评估与淘汰记录</x:v>
      </x:c>
      <x:c r="O1" s="156" t="str">
        <x:v>候选股评估与淘汰记录</x:v>
      </x:c>
      <x:c r="P1" s="156" t="str">
        <x:v>候选股评估与淘汰记录</x:v>
      </x:c>
      <x:c r="Q1" s="156" t="str">
        <x:v>候选股评估与淘汰记录</x:v>
      </x:c>
    </x:row>
    <x:row r="2">
      <x:c r="A2" s="157" t="str">
        <x:v>盈亏比为硬门槛，但不替代板块、核心层级、流动性与组合风险检查；候选可以全部判定为不交易。红涨/盈，绿跌/亏。</x:v>
      </x:c>
      <x:c r="B2" s="157" t="str">
        <x:v>盈亏比为硬门槛，但不替代板块、核心层级、流动性与组合风险检查；候选可以全部判定为不交易。红涨/盈，绿跌/亏。</x:v>
      </x:c>
      <x:c r="C2" s="157" t="str">
        <x:v>盈亏比为硬门槛，但不替代板块、核心层级、流动性与组合风险检查；候选可以全部判定为不交易。红涨/盈，绿跌/亏。</x:v>
      </x:c>
      <x:c r="D2" s="157" t="str">
        <x:v>盈亏比为硬门槛，但不替代板块、核心层级、流动性与组合风险检查；候选可以全部判定为不交易。红涨/盈，绿跌/亏。</x:v>
      </x:c>
      <x:c r="E2" s="157" t="str">
        <x:v>盈亏比为硬门槛，但不替代板块、核心层级、流动性与组合风险检查；候选可以全部判定为不交易。红涨/盈，绿跌/亏。</x:v>
      </x:c>
      <x:c r="F2" s="157" t="str">
        <x:v>盈亏比为硬门槛，但不替代板块、核心层级、流动性与组合风险检查；候选可以全部判定为不交易。红涨/盈，绿跌/亏。</x:v>
      </x:c>
      <x:c r="G2" s="157" t="str">
        <x:v>盈亏比为硬门槛，但不替代板块、核心层级、流动性与组合风险检查；候选可以全部判定为不交易。红涨/盈，绿跌/亏。</x:v>
      </x:c>
      <x:c r="H2" s="157" t="str">
        <x:v>盈亏比为硬门槛，但不替代板块、核心层级、流动性与组合风险检查；候选可以全部判定为不交易。红涨/盈，绿跌/亏。</x:v>
      </x:c>
      <x:c r="I2" s="157" t="str">
        <x:v>盈亏比为硬门槛，但不替代板块、核心层级、流动性与组合风险检查；候选可以全部判定为不交易。红涨/盈，绿跌/亏。</x:v>
      </x:c>
      <x:c r="J2" s="157" t="str">
        <x:v>盈亏比为硬门槛，但不替代板块、核心层级、流动性与组合风险检查；候选可以全部判定为不交易。红涨/盈，绿跌/亏。</x:v>
      </x:c>
      <x:c r="K2" s="157" t="str">
        <x:v>盈亏比为硬门槛，但不替代板块、核心层级、流动性与组合风险检查；候选可以全部判定为不交易。红涨/盈，绿跌/亏。</x:v>
      </x:c>
      <x:c r="L2" s="157" t="str">
        <x:v>盈亏比为硬门槛，但不替代板块、核心层级、流动性与组合风险检查；候选可以全部判定为不交易。红涨/盈，绿跌/亏。</x:v>
      </x:c>
      <x:c r="M2" s="157" t="str">
        <x:v>盈亏比为硬门槛，但不替代板块、核心层级、流动性与组合风险检查；候选可以全部判定为不交易。红涨/盈，绿跌/亏。</x:v>
      </x:c>
      <x:c r="N2" s="157" t="str">
        <x:v>盈亏比为硬门槛，但不替代板块、核心层级、流动性与组合风险检查；候选可以全部判定为不交易。红涨/盈，绿跌/亏。</x:v>
      </x:c>
      <x:c r="O2" s="157" t="str">
        <x:v>盈亏比为硬门槛，但不替代板块、核心层级、流动性与组合风险检查；候选可以全部判定为不交易。红涨/盈，绿跌/亏。</x:v>
      </x:c>
      <x:c r="P2" s="157" t="str">
        <x:v>盈亏比为硬门槛，但不替代板块、核心层级、流动性与组合风险检查；候选可以全部判定为不交易。红涨/盈，绿跌/亏。</x:v>
      </x:c>
      <x:c r="Q2" s="157" t="str">
        <x:v>盈亏比为硬门槛，但不替代板块、核心层级、流动性与组合风险检查；候选可以全部判定为不交易。红涨/盈，绿跌/亏。</x:v>
      </x:c>
    </x:row>
    <x:row r="3">
      <x:c r="A3" s="158"/>
      <x:c r="B3" s="158"/>
      <x:c r="C3" s="158"/>
      <x:c r="D3" s="158"/>
      <x:c r="E3" s="158"/>
      <x:c r="F3" s="158"/>
      <x:c r="G3" s="158"/>
      <x:c r="H3" s="158"/>
      <x:c r="I3" s="158"/>
      <x:c r="J3" s="158"/>
      <x:c r="K3" s="158"/>
      <x:c r="L3" s="158"/>
      <x:c r="M3" s="158"/>
      <x:c r="N3" s="158"/>
      <x:c r="O3" s="158"/>
      <x:c r="P3" s="158"/>
      <x:c r="Q3" s="158"/>
    </x:row>
    <x:row r="4">
      <x:c r="A4" s="159" t="str">
        <x:v>快照ID</x:v>
      </x:c>
      <x:c r="B4" s="159" t="str">
        <x:v>时点</x:v>
      </x:c>
      <x:c r="C4" s="159" t="str">
        <x:v>代码</x:v>
      </x:c>
      <x:c r="D4" s="159" t="str">
        <x:v>证券</x:v>
      </x:c>
      <x:c r="E4" s="159" t="str">
        <x:v>板块</x:v>
      </x:c>
      <x:c r="F4" s="159" t="str">
        <x:v>板块涨跌</x:v>
      </x:c>
      <x:c r="G4" s="159" t="str">
        <x:v>个股涨跌</x:v>
      </x:c>
      <x:c r="H4" s="159" t="str">
        <x:v>相对强度</x:v>
      </x:c>
      <x:c r="I4" s="159" t="str">
        <x:v>层级</x:v>
      </x:c>
      <x:c r="J4" s="159" t="str">
        <x:v>当前评估价</x:v>
      </x:c>
      <x:c r="K4" s="159" t="str">
        <x:v>结构失效价</x:v>
      </x:c>
      <x:c r="L4" s="159" t="str">
        <x:v>第一压力</x:v>
      </x:c>
      <x:c r="M4" s="159" t="str">
        <x:v>继续持有净R</x:v>
      </x:c>
      <x:c r="N4" s="159" t="str">
        <x:v>结论</x:v>
      </x:c>
      <x:c r="O4" s="159" t="str">
        <x:v>原因代码</x:v>
      </x:c>
      <x:c r="P4" s="159" t="str">
        <x:v>今日可卖</x:v>
      </x:c>
      <x:c r="Q4" s="159" t="str">
        <x:v>备注</x:v>
      </x:c>
    </x:row>
    <x:row r="5" ht="68" customHeight="1">
      <x:c r="A5" s="182" t="str">
        <x:v>ASU-20260902-105627-600172-603045</x:v>
      </x:c>
      <x:c r="B5" s="182" t="str">
        <x:v>2026-09-02 10:56:27+08:00</x:v>
      </x:c>
      <x:c r="C5" s="182" t="str">
        <x:v>600172</x:v>
      </x:c>
      <x:c r="D5" s="182" t="str">
        <x:v>黄河旋风</x:v>
      </x:c>
      <x:c r="E5" s="182" t="str">
        <x:v>通用设备</x:v>
      </x:c>
      <x:c r="F5" s="188" t="n">
        <x:v>0.0015</x:v>
      </x:c>
      <x:c r="G5" s="188" t="n">
        <x:v>0.0581</x:v>
      </x:c>
      <x:c r="H5" s="188" t="n">
        <x:v>0.0566</x:v>
      </x:c>
      <x:c r="I5" s="182" t="str">
        <x:v>相对强/核心性待验证</x:v>
      </x:c>
      <x:c r="J5" s="189" t="n">
        <x:v>15.49</x:v>
      </x:c>
      <x:c r="K5" s="189" t="n">
        <x:v>15.03</x:v>
      </x:c>
      <x:c r="L5" s="189" t="n">
        <x:v>15.99</x:v>
      </x:c>
      <x:c r="M5" s="190" t="n">
        <x:v>0.9202391777</x:v>
      </x:c>
      <x:c r="N5" s="182" t="str">
        <x:v>不加仓；下一可卖日保护利润</x:v>
      </x:c>
      <x:c r="O5" s="182" t="str">
        <x:v>NET_R_BELOW_THRESHOLD;PORTFOLIO_RISK_CAP;BOARD_CAP;SINGLE_STOCK_STRESS_CAP;T1_OVERNIGHT_RISK</x:v>
      </x:c>
      <x:c r="P5" s="182" t="n">
        <x:v>0</x:v>
      </x:c>
      <x:c r="Q5" s="182" t="str">
        <x:v>盘中高15.99；相对板块强，但当前继续持有盈亏比不足</x:v>
      </x:c>
    </x:row>
    <x:row r="6" ht="68" customHeight="1">
      <x:c r="A6" s="182" t="str">
        <x:v>ASU-20260902-105627-600172-603045</x:v>
      </x:c>
      <x:c r="B6" s="182" t="str">
        <x:v>2026-09-02 10:56:27+08:00</x:v>
      </x:c>
      <x:c r="C6" s="182" t="str">
        <x:v>603045</x:v>
      </x:c>
      <x:c r="D6" s="182" t="str">
        <x:v>福达合金</x:v>
      </x:c>
      <x:c r="E6" s="182" t="str">
        <x:v>金属新材料</x:v>
      </x:c>
      <x:c r="F6" s="188" t="n">
        <x:v>-0.0046</x:v>
      </x:c>
      <x:c r="G6" s="188" t="n">
        <x:v>-0.0403</x:v>
      </x:c>
      <x:c r="H6" s="188" t="n">
        <x:v>-0.0357</x:v>
      </x:c>
      <x:c r="I6" s="182" t="str">
        <x:v>弱于板块/核心性未确认</x:v>
      </x:c>
      <x:c r="J6" s="189" t="n">
        <x:v>54.08</x:v>
      </x:c>
      <x:c r="K6" s="189" t="n">
        <x:v>53.01</x:v>
      </x:c>
      <x:c r="L6" s="189" t="n">
        <x:v>55.3</x:v>
      </x:c>
      <x:c r="M6" s="190" t="n">
        <x:v>0.9063670986</x:v>
      </x:c>
      <x:c r="N6" s="182" t="str">
        <x:v>原失效已触发；下一可卖日优先降风险</x:v>
      </x:c>
      <x:c r="O6" s="182" t="str">
        <x:v>INTRADAY_INVALIDATION_TRIGGERED;NET_R_BELOW_THRESHOLD;BOARD_CAP;SINGLE_STOCK_STRESS_CAP;T1_OVERNIGHT_RISK;LOSS_ADD_FORBIDDEN</x:v>
      </x:c>
      <x:c r="P6" s="182" t="n">
        <x:v>0</x:v>
      </x:c>
      <x:c r="Q6" s="182" t="str">
        <x:v>盘中低53.01，已跌破原53.78失效价；不可写成今日已止损</x:v>
      </x:c>
    </x:row>
    <x:row r="7" ht="68" customHeight="1">
      <x:c r="A7" s="182" t="str">
        <x:v>ASU-20260903-100827-000925-601212</x:v>
      </x:c>
      <x:c r="B7" s="182" t="str">
        <x:v>2026-09-03 10:08:27+08:00</x:v>
      </x:c>
      <x:c r="C7" s="182" t="str">
        <x:v>000925</x:v>
      </x:c>
      <x:c r="D7" s="182" t="str">
        <x:v>众合科技</x:v>
      </x:c>
      <x:c r="E7" s="182" t="str">
        <x:v>轨道交通设备/算力概念</x:v>
      </x:c>
      <x:c r="F7" s="188"/>
      <x:c r="G7" s="188" t="n">
        <x:v>-0.0057273769</x:v>
      </x:c>
      <x:c r="H7" s="188"/>
      <x:c r="I7" s="182" t="str">
        <x:v>未知/待盘后复核</x:v>
      </x:c>
      <x:c r="J7" s="189" t="n">
        <x:v>8.68</x:v>
      </x:c>
      <x:c r="K7" s="189"/>
      <x:c r="L7" s="189"/>
      <x:c r="M7" s="190"/>
      <x:c r="N7" s="182" t="str">
        <x:v>已买入/模式外；T+1锁定</x:v>
      </x:c>
      <x:c r="O7" s="182" t="str">
        <x:v>UNPLANNED_OPEN_BUY;MISSING_PREPLAN;BOARD_CAP;SINGLE_STOCK_STRESS_CAP;T1_OVERNIGHT_RISK</x:v>
      </x:c>
      <x:c r="P7" s="182" t="n">
        <x:v>0</x:v>
      </x:c>
      <x:c r="Q7" s="182" t="str">
        <x:v>成本8.805；开8.79、高8.86、低8.61；未事前定义L/T/Emax和净R</x:v>
      </x:c>
    </x:row>
    <x:row r="8" ht="68" customHeight="1">
      <x:c r="A8" s="182" t="str">
        <x:v>ASU-20260903-100827-000925-601212</x:v>
      </x:c>
      <x:c r="B8" s="182" t="str">
        <x:v>2026-09-03 10:08:27+08:00</x:v>
      </x:c>
      <x:c r="C8" s="182" t="str">
        <x:v>601212</x:v>
      </x:c>
      <x:c r="D8" s="182" t="str">
        <x:v>白银有色</x:v>
      </x:c>
      <x:c r="E8" s="182" t="str">
        <x:v>工业金属/贵金属</x:v>
      </x:c>
      <x:c r="F8" s="188"/>
      <x:c r="G8" s="188" t="n">
        <x:v>0.0405405405</x:v>
      </x:c>
      <x:c r="H8" s="188"/>
      <x:c r="I8" s="182" t="str">
        <x:v>未知/待盘后复核</x:v>
      </x:c>
      <x:c r="J8" s="189" t="n">
        <x:v>6.93</x:v>
      </x:c>
      <x:c r="K8" s="189"/>
      <x:c r="L8" s="189"/>
      <x:c r="M8" s="190"/>
      <x:c r="N8" s="182" t="str">
        <x:v>已买入；结构待复核；T+1锁定</x:v>
      </x:c>
      <x:c r="O8" s="182" t="str">
        <x:v>MISSING_PREPLAN;BOARD_CAP;SINGLE_STOCK_STRESS_CAP;T1_OVERNIGHT_RISK</x:v>
      </x:c>
      <x:c r="P8" s="182" t="n">
        <x:v>0</x:v>
      </x:c>
      <x:c r="Q8" s="182" t="str">
        <x:v>成本6.900；开6.67、高7.01、低6.67；未事前定义L/T/Emax和净R</x:v>
      </x:c>
    </x:row>
    <x:row r="9">
      <x:c r="A9" s="158" t="str">
        <x:v>ASU-20260904-171601-000560-002498-600547</x:v>
      </x:c>
      <x:c r="B9" s="158" t="str">
        <x:v>2026-09-04 17:16:01+08:00</x:v>
      </x:c>
      <x:c r="C9" s="158" t="str">
        <x:v>601212</x:v>
      </x:c>
      <x:c r="D9" s="158" t="str">
        <x:v>白银有色</x:v>
      </x:c>
      <x:c r="E9" s="158" t="str">
        <x:v>工业金属/贵金属</x:v>
      </x:c>
      <x:c r="F9" s="158"/>
      <x:c r="G9" s="158" t="n">
        <x:v>-0.0041</x:v>
      </x:c>
      <x:c r="H9" s="158"/>
      <x:c r="I9" s="158" t="str">
        <x:v>核心性未确认</x:v>
      </x:c>
      <x:c r="J9" s="158" t="n">
        <x:v>7.3</x:v>
      </x:c>
      <x:c r="K9" s="158"/>
      <x:c r="L9" s="158"/>
      <x:c r="M9" s="158"/>
      <x:c r="N9" s="158" t="str">
        <x:v>已卖出；实现毛盈利约560元</x:v>
      </x:c>
      <x:c r="O9" s="158" t="str">
        <x:v>EXIT_FILLED;MISSING_PREPLAN</x:v>
      </x:c>
      <x:c r="P9" s="158" t="n">
        <x:v>0</x:v>
      </x:c>
      <x:c r="Q9" s="158" t="str">
        <x:v>成本6.900，7.300卖出1400股；今日高7.55、低7.23、收7.30；费用待交割单</x:v>
      </x:c>
    </x:row>
    <x:row r="10">
      <x:c r="A10" s="158" t="str">
        <x:v>ASU-20260904-171601-000560-002498-600547</x:v>
      </x:c>
      <x:c r="B10" s="158" t="str">
        <x:v>2026-09-04 17:16:01+08:00</x:v>
      </x:c>
      <x:c r="C10" s="158" t="str">
        <x:v>000925</x:v>
      </x:c>
      <x:c r="D10" s="158" t="str">
        <x:v>众合科技</x:v>
      </x:c>
      <x:c r="E10" s="158" t="str">
        <x:v>轨交设备/算力概念</x:v>
      </x:c>
      <x:c r="F10" s="158"/>
      <x:c r="G10" s="158" t="n">
        <x:v>-0.007</x:v>
      </x:c>
      <x:c r="H10" s="158"/>
      <x:c r="I10" s="158" t="str">
        <x:v>未知</x:v>
      </x:c>
      <x:c r="J10" s="158" t="n">
        <x:v>8.53</x:v>
      </x:c>
      <x:c r="K10" s="158"/>
      <x:c r="L10" s="158"/>
      <x:c r="M10" s="158"/>
      <x:c r="N10" s="158" t="str">
        <x:v>已退出无计划交易；毛亏约302.50元</x:v>
      </x:c>
      <x:c r="O10" s="158" t="str">
        <x:v>UNPLANNED_OPEN_BUY;EXIT_FILLED</x:v>
      </x:c>
      <x:c r="P10" s="158" t="n">
        <x:v>0</x:v>
      </x:c>
      <x:c r="Q10" s="158" t="str">
        <x:v>成本8.805，8.530卖出1100股；纠正及时，但原买入纪律错误</x:v>
      </x:c>
    </x:row>
    <x:row r="11">
      <x:c r="A11" s="158" t="str">
        <x:v>ASU-20260904-171601-000560-002498-600547</x:v>
      </x:c>
      <x:c r="B11" s="158" t="str">
        <x:v>2026-09-04 17:16:01+08:00</x:v>
      </x:c>
      <x:c r="C11" s="158" t="str">
        <x:v>000560</x:v>
      </x:c>
      <x:c r="D11" s="158" t="str">
        <x:v>我爱我家</x:v>
      </x:c>
      <x:c r="E11" s="158" t="str">
        <x:v>房地产服务</x:v>
      </x:c>
      <x:c r="F11" s="158"/>
      <x:c r="G11" s="158" t="n">
        <x:v>0.1014</x:v>
      </x:c>
      <x:c r="H11" s="158"/>
      <x:c r="I11" s="158" t="str">
        <x:v>高位活跃/核心性未确认</x:v>
      </x:c>
      <x:c r="J11" s="158" t="n">
        <x:v>3.15</x:v>
      </x:c>
      <x:c r="K11" s="158"/>
      <x:c r="L11" s="158" t="n">
        <x:v>3.19</x:v>
      </x:c>
      <x:c r="M11" s="158"/>
      <x:c r="N11" s="158" t="str">
        <x:v>已买入/模式外高位打板；不加仓</x:v>
      </x:c>
      <x:c r="O11" s="158" t="str">
        <x:v>SETUP_MISMATCH;MISSING_PREPLAN;PORTFOLIO_RISK_CAP;BOARD_CAP;SINGLE_STOCK_STRESS_CAP;T1_OVERNIGHT_RISK</x:v>
      </x:c>
      <x:c r="P11" s="158" t="n">
        <x:v>0</x:v>
      </x:c>
      <x:c r="Q11" s="158" t="str">
        <x:v>打板价3.15推定，待确认；9个交易日5板、累计涨幅约45%，不属于低位首板</x:v>
      </x:c>
    </x:row>
    <x:row r="12">
      <x:c r="A12" s="158" t="str">
        <x:v>ASU-20260904-171601-000560-002498-600547</x:v>
      </x:c>
      <x:c r="B12" s="158" t="str">
        <x:v>2026-09-04 17:16:01+08:00</x:v>
      </x:c>
      <x:c r="C12" s="158" t="str">
        <x:v>002498</x:v>
      </x:c>
      <x:c r="D12" s="158" t="str">
        <x:v>汉缆股份</x:v>
      </x:c>
      <x:c r="E12" s="158" t="str">
        <x:v>电网设备</x:v>
      </x:c>
      <x:c r="F12" s="158"/>
      <x:c r="G12" s="158" t="n">
        <x:v>-0.0378</x:v>
      </x:c>
      <x:c r="H12" s="158"/>
      <x:c r="I12" s="158" t="str">
        <x:v>核心性未确认</x:v>
      </x:c>
      <x:c r="J12" s="158" t="n">
        <x:v>6.61</x:v>
      </x:c>
      <x:c r="K12" s="158" t="n">
        <x:v>6.52</x:v>
      </x:c>
      <x:c r="L12" s="158" t="n">
        <x:v>6.85</x:v>
      </x:c>
      <x:c r="M12" s="158" t="n">
        <x:v>2.0820015935</x:v>
      </x:c>
      <x:c r="N12" s="158" t="str">
        <x:v>持有但不加仓；下一交易日验证承接</x:v>
      </x:c>
      <x:c r="O12" s="158" t="str">
        <x:v>MISSING_PREPLAN;NET_R_BELOW_THRESHOLD;PORTFOLIO_RISK_CAP;BOARD_CAP;SINGLE_STOCK_STRESS_CAP;T1_OVERNIGHT_RISK</x:v>
      </x:c>
      <x:c r="P12" s="158" t="n">
        <x:v>0</x:v>
      </x:c>
      <x:c r="Q12" s="158" t="str">
        <x:v>成本6.714；收6.61。继续持有净R约2.08，低于谨慎阶段2.5R；L/T为盘后参考</x:v>
      </x:c>
    </x:row>
    <x:row r="13">
      <x:c r="A13" s="158" t="str">
        <x:v>ASU-20260904-171601-000560-002498-600547</x:v>
      </x:c>
      <x:c r="B13" s="158" t="str">
        <x:v>2026-09-04 17:16:01+08:00</x:v>
      </x:c>
      <x:c r="C13" s="158" t="str">
        <x:v>600547</x:v>
      </x:c>
      <x:c r="D13" s="158" t="str">
        <x:v>山东黄金</x:v>
      </x:c>
      <x:c r="E13" s="158" t="str">
        <x:v>贵金属</x:v>
      </x:c>
      <x:c r="F13" s="158"/>
      <x:c r="G13" s="158" t="n">
        <x:v>0.0107</x:v>
      </x:c>
      <x:c r="H13" s="158"/>
      <x:c r="I13" s="158" t="str">
        <x:v>容量核心性未确认</x:v>
      </x:c>
      <x:c r="J13" s="158" t="n">
        <x:v>37.9</x:v>
      </x:c>
      <x:c r="K13" s="158" t="n">
        <x:v>37.2</x:v>
      </x:c>
      <x:c r="L13" s="158" t="n">
        <x:v>38.61</x:v>
      </x:c>
      <x:c r="M13" s="158" t="n">
        <x:v>0.7473256871</x:v>
      </x:c>
      <x:c r="N13" s="158" t="str">
        <x:v>持有但不加仓；反弹优先降风险</x:v>
      </x:c>
      <x:c r="O13" s="158" t="str">
        <x:v>MISSING_PREPLAN;NET_R_BELOW_THRESHOLD;PORTFOLIO_RISK_CAP;T1_OVERNIGHT_RISK</x:v>
      </x:c>
      <x:c r="P13" s="158" t="n">
        <x:v>0</x:v>
      </x:c>
      <x:c r="Q13" s="158" t="str">
        <x:v>成本38.416，接近已知压力38.61；收37.90。继续持有净R约0.75；贵金属日内走弱</x:v>
      </x:c>
    </x:row>
    <x:row r="14">
      <x:c r="A14" s="158" t="str">
        <x:v>ASU-20260907-1019-REVIEW</x:v>
      </x:c>
      <x:c r="B14" s="158" t="str">
        <x:v>2026-09-07 10:18—10:19+08:00</x:v>
      </x:c>
      <x:c r="C14" s="158" t="str">
        <x:v>300189</x:v>
      </x:c>
      <x:c r="D14" s="158" t="str">
        <x:v>神农种业</x:v>
      </x:c>
      <x:c r="E14" s="158" t="str">
        <x:v>种业</x:v>
      </x:c>
      <x:c r="F14" s="158"/>
      <x:c r="G14" s="214" t="n">
        <x:v>0.0936</x:v>
      </x:c>
      <x:c r="H14" s="158"/>
      <x:c r="I14" s="158" t="str">
        <x:v>待核实</x:v>
      </x:c>
      <x:c r="J14" s="158" t="n">
        <x:v>7.71</x:v>
      </x:c>
      <x:c r="K14" s="158"/>
      <x:c r="L14" s="158"/>
      <x:c r="M14" s="158"/>
      <x:c r="N14" s="158" t="str">
        <x:v>新买1200股；模式与仓位未通过</x:v>
      </x:c>
      <x:c r="O14" s="158" t="str">
        <x:v>SETUP_MISMATCH;BOARD_CAP;SINGLE_STOCK_STRESS_CAP</x:v>
      </x:c>
      <x:c r="P14" s="158"/>
      <x:c r="Q14" s="158" t="str">
        <x:v>买入7.834。种业有联动，但缺回踩确认。名义金额9400.80。</x:v>
      </x:c>
    </x:row>
    <x:row r="15">
      <x:c r="A15" s="158" t="str">
        <x:v>ASU-20260907-1019-REVIEW</x:v>
      </x:c>
      <x:c r="B15" s="158" t="str">
        <x:v>2026-09-07 10:18—10:19+08:00</x:v>
      </x:c>
      <x:c r="C15" s="158" t="str">
        <x:v>000560</x:v>
      </x:c>
      <x:c r="D15" s="158" t="str">
        <x:v>我爱我家</x:v>
      </x:c>
      <x:c r="E15" s="158" t="str">
        <x:v>房地产服务</x:v>
      </x:c>
      <x:c r="F15" s="158"/>
      <x:c r="G15" s="214" t="n">
        <x:v>0.0254</x:v>
      </x:c>
      <x:c r="H15" s="158"/>
      <x:c r="I15" s="158" t="str">
        <x:v>待核实</x:v>
      </x:c>
      <x:c r="J15" s="158" t="n">
        <x:v>3.23</x:v>
      </x:c>
      <x:c r="K15" s="158"/>
      <x:c r="L15" s="158"/>
      <x:c r="M15" s="158"/>
      <x:c r="N15" s="158" t="str">
        <x:v>旧仓全卖；3.22新增股数待补</x:v>
      </x:c>
      <x:c r="O15" s="158" t="str">
        <x:v>MISSING_INPUT;SETUP_MISMATCH</x:v>
      </x:c>
      <x:c r="P15" s="158"/>
      <x:c r="Q15" s="158" t="str">
        <x:v>旧仓3200股3.30全卖，新仓单列，不能用价差盈利证明买入合规。</x:v>
      </x:c>
    </x:row>
    <x:row r="16">
      <x:c r="A16" s="158" t="str">
        <x:v>ASU-20260907-1019-REVIEW</x:v>
      </x:c>
      <x:c r="B16" s="158" t="str">
        <x:v>2026-09-07 10:18—10:19+08:00</x:v>
      </x:c>
      <x:c r="C16" s="158" t="str">
        <x:v>002498</x:v>
      </x:c>
      <x:c r="D16" s="158" t="str">
        <x:v>汉缆股份</x:v>
      </x:c>
      <x:c r="E16" s="158" t="str">
        <x:v>电网设备</x:v>
      </x:c>
      <x:c r="F16" s="158"/>
      <x:c r="G16" s="214" t="n">
        <x:v>-0.0272</x:v>
      </x:c>
      <x:c r="H16" s="158"/>
      <x:c r="I16" s="158" t="str">
        <x:v>待核实</x:v>
      </x:c>
      <x:c r="J16" s="158" t="n">
        <x:v>6.43</x:v>
      </x:c>
      <x:c r="K16" s="158" t="n">
        <x:v>6.52</x:v>
      </x:c>
      <x:c r="L16" s="158" t="n">
        <x:v>6.85</x:v>
      </x:c>
      <x:c r="M16" s="158"/>
      <x:c r="N16" s="158" t="str">
        <x:v>1400股6.440全部卖出</x:v>
      </x:c>
      <x:c r="O16" s="158" t="str">
        <x:v>EXIT_FILLED</x:v>
      </x:c>
      <x:c r="P16" s="158"/>
      <x:c r="Q16" s="158" t="str">
        <x:v>实际卖出已确认，价差亏损383.60，时点待核。</x:v>
      </x:c>
    </x:row>
    <x:row r="17">
      <x:c r="A17" s="158" t="str">
        <x:v>ASU-20260907-1019-REVIEW</x:v>
      </x:c>
      <x:c r="B17" s="158" t="str">
        <x:v>2026-09-07 10:18—10:19+08:00</x:v>
      </x:c>
      <x:c r="C17" s="158" t="str">
        <x:v>600547</x:v>
      </x:c>
      <x:c r="D17" s="158" t="str">
        <x:v>山东黄金</x:v>
      </x:c>
      <x:c r="E17" s="158" t="str">
        <x:v>贵金属</x:v>
      </x:c>
      <x:c r="F17" s="158"/>
      <x:c r="G17" s="214" t="n">
        <x:v>-0.0248</x:v>
      </x:c>
      <x:c r="H17" s="158"/>
      <x:c r="I17" s="158" t="str">
        <x:v>待核实</x:v>
      </x:c>
      <x:c r="J17" s="158" t="n">
        <x:v>36.96</x:v>
      </x:c>
      <x:c r="K17" s="158" t="n">
        <x:v>37.2</x:v>
      </x:c>
      <x:c r="L17" s="158" t="n">
        <x:v>38.61</x:v>
      </x:c>
      <x:c r="M17" s="158"/>
      <x:c r="N17" s="158" t="str">
        <x:v>沿用200股待确认；原结构失效</x:v>
      </x:c>
      <x:c r="O17" s="158" t="str">
        <x:v>GAP_THROUGH_INVALIDATION;MISSING_INPUT</x:v>
      </x:c>
      <x:c r="P17" s="158"/>
      <x:c r="Q17" s="158" t="str">
        <x:v>开37.04已低于37.20，未收到卖出成交，不记已止损。</x:v>
      </x:c>
    </x:row>
    <x:row r="18">
      <x:c r="A18" s="158" t="str">
        <x:v>ASU-20260907-104125-GOLD-EXIT</x:v>
      </x:c>
      <x:c r="B18" s="158" t="str">
        <x:v>2026-09-07 10:41:25+08:00</x:v>
      </x:c>
      <x:c r="C18" s="158" t="str">
        <x:v>600547</x:v>
      </x:c>
      <x:c r="D18" s="158" t="str">
        <x:v>山东黄金</x:v>
      </x:c>
      <x:c r="E18" s="158" t="str">
        <x:v>贵金属</x:v>
      </x:c>
      <x:c r="F18" s="158"/>
      <x:c r="G18" s="158"/>
      <x:c r="H18" s="158"/>
      <x:c r="I18" s="158" t="str">
        <x:v>已平仓</x:v>
      </x:c>
      <x:c r="J18" s="158"/>
      <x:c r="K18" s="158" t="n">
        <x:v>37.2</x:v>
      </x:c>
      <x:c r="L18" s="158" t="n">
        <x:v>38.61</x:v>
      </x:c>
      <x:c r="M18" s="158"/>
      <x:c r="N18" s="158" t="str">
        <x:v>200股全部卖出，均价37.01</x:v>
      </x:c>
      <x:c r="O18" s="158" t="str">
        <x:v>EXIT_FILLED</x:v>
      </x:c>
      <x:c r="P18" s="158" t="n">
        <x:v>0</x:v>
      </x:c>
      <x:c r="Q18" s="158" t="str">
        <x:v>用户所述平均成本37.01按卖出均价记录；原买入38.416，价差亏损281.20元，费用待核。</x:v>
      </x:c>
    </x:row>
    <x:row r="19">
      <x:c r="A19" s="158"/>
      <x:c r="B19" s="158"/>
      <x:c r="C19" s="158"/>
      <x:c r="D19" s="158"/>
      <x:c r="E19" s="158"/>
      <x:c r="F19" s="158"/>
      <x:c r="G19" s="158"/>
      <x:c r="H19" s="158"/>
      <x:c r="I19" s="158"/>
      <x:c r="J19" s="158"/>
      <x:c r="K19" s="158"/>
      <x:c r="L19" s="158"/>
      <x:c r="M19" s="158"/>
      <x:c r="N19" s="158"/>
      <x:c r="O19" s="158"/>
      <x:c r="P19" s="158"/>
      <x:c r="Q19" s="158"/>
    </x:row>
    <x:row r="20">
      <x:c r="A20" s="158"/>
      <x:c r="B20" s="158"/>
      <x:c r="C20" s="158"/>
      <x:c r="D20" s="158"/>
      <x:c r="E20" s="158"/>
      <x:c r="F20" s="158"/>
      <x:c r="G20" s="158"/>
      <x:c r="H20" s="158"/>
      <x:c r="I20" s="158"/>
      <x:c r="J20" s="158"/>
      <x:c r="K20" s="158"/>
      <x:c r="L20" s="158"/>
      <x:c r="M20" s="158"/>
      <x:c r="N20" s="158"/>
      <x:c r="O20" s="158"/>
      <x:c r="P20" s="158"/>
      <x:c r="Q20" s="158"/>
    </x:row>
    <x:row r="21">
      <x:c r="A21" s="158"/>
      <x:c r="B21" s="158"/>
      <x:c r="C21" s="158"/>
      <x:c r="D21" s="158"/>
      <x:c r="E21" s="158"/>
      <x:c r="F21" s="158"/>
      <x:c r="G21" s="158"/>
      <x:c r="H21" s="158"/>
      <x:c r="I21" s="158"/>
      <x:c r="J21" s="158"/>
      <x:c r="K21" s="158"/>
      <x:c r="L21" s="158"/>
      <x:c r="M21" s="158"/>
      <x:c r="N21" s="158"/>
      <x:c r="O21" s="158"/>
      <x:c r="P21" s="158"/>
      <x:c r="Q21" s="158"/>
    </x:row>
    <x:row r="22">
      <x:c r="A22" s="158"/>
      <x:c r="B22" s="158"/>
      <x:c r="C22" s="158"/>
      <x:c r="D22" s="158"/>
      <x:c r="E22" s="158"/>
      <x:c r="F22" s="158"/>
      <x:c r="G22" s="158"/>
      <x:c r="H22" s="158"/>
      <x:c r="I22" s="158"/>
      <x:c r="J22" s="158"/>
      <x:c r="K22" s="158"/>
      <x:c r="L22" s="158"/>
      <x:c r="M22" s="158"/>
      <x:c r="N22" s="158"/>
      <x:c r="O22" s="158"/>
      <x:c r="P22" s="158"/>
      <x:c r="Q22" s="158"/>
    </x:row>
    <x:row r="23">
      <x:c r="A23" s="158"/>
      <x:c r="B23" s="158"/>
      <x:c r="C23" s="158"/>
      <x:c r="D23" s="158"/>
      <x:c r="E23" s="158"/>
      <x:c r="F23" s="158"/>
      <x:c r="G23" s="158"/>
      <x:c r="H23" s="158"/>
      <x:c r="I23" s="158"/>
      <x:c r="J23" s="158"/>
      <x:c r="K23" s="158"/>
      <x:c r="L23" s="158"/>
      <x:c r="M23" s="158"/>
      <x:c r="N23" s="158"/>
      <x:c r="O23" s="158"/>
      <x:c r="P23" s="158"/>
      <x:c r="Q23" s="158"/>
    </x:row>
    <x:row r="24">
      <x:c r="A24" s="158"/>
      <x:c r="B24" s="158"/>
      <x:c r="C24" s="158"/>
      <x:c r="D24" s="158"/>
      <x:c r="E24" s="158"/>
      <x:c r="F24" s="158"/>
      <x:c r="G24" s="158"/>
      <x:c r="H24" s="158"/>
      <x:c r="I24" s="158"/>
      <x:c r="J24" s="158"/>
      <x:c r="K24" s="158"/>
      <x:c r="L24" s="158"/>
      <x:c r="M24" s="158"/>
      <x:c r="N24" s="158"/>
      <x:c r="O24" s="158"/>
      <x:c r="P24" s="158"/>
      <x:c r="Q24" s="158"/>
    </x:row>
    <x:row r="25">
      <x:c r="A25" s="158"/>
      <x:c r="B25" s="158"/>
      <x:c r="C25" s="158"/>
      <x:c r="D25" s="158"/>
      <x:c r="E25" s="158"/>
      <x:c r="F25" s="158"/>
      <x:c r="G25" s="158"/>
      <x:c r="H25" s="158"/>
      <x:c r="I25" s="158"/>
      <x:c r="J25" s="158"/>
      <x:c r="K25" s="158"/>
      <x:c r="L25" s="158"/>
      <x:c r="M25" s="158"/>
      <x:c r="N25" s="158"/>
      <x:c r="O25" s="158"/>
      <x:c r="P25" s="158"/>
      <x:c r="Q25" s="158"/>
    </x:row>
    <x:row r="26">
      <x:c r="A26" s="158"/>
      <x:c r="B26" s="158"/>
      <x:c r="C26" s="158"/>
      <x:c r="D26" s="158"/>
      <x:c r="E26" s="158"/>
      <x:c r="F26" s="158"/>
      <x:c r="G26" s="158"/>
      <x:c r="H26" s="158"/>
      <x:c r="I26" s="158"/>
      <x:c r="J26" s="158"/>
      <x:c r="K26" s="158"/>
      <x:c r="L26" s="158"/>
      <x:c r="M26" s="158"/>
      <x:c r="N26" s="158"/>
      <x:c r="O26" s="158"/>
      <x:c r="P26" s="158"/>
      <x:c r="Q26" s="158"/>
    </x:row>
    <x:row r="27">
      <x:c r="A27" s="158"/>
      <x:c r="B27" s="158"/>
      <x:c r="C27" s="158"/>
      <x:c r="D27" s="158"/>
      <x:c r="E27" s="158"/>
      <x:c r="F27" s="158"/>
      <x:c r="G27" s="158"/>
      <x:c r="H27" s="158"/>
      <x:c r="I27" s="158"/>
      <x:c r="J27" s="158"/>
      <x:c r="K27" s="158"/>
      <x:c r="L27" s="158"/>
      <x:c r="M27" s="158"/>
      <x:c r="N27" s="158"/>
      <x:c r="O27" s="158"/>
      <x:c r="P27" s="158"/>
      <x:c r="Q27" s="158"/>
    </x:row>
    <x:row r="28">
      <x:c r="A28" s="158"/>
      <x:c r="B28" s="158"/>
      <x:c r="C28" s="158"/>
      <x:c r="D28" s="158"/>
      <x:c r="E28" s="158"/>
      <x:c r="F28" s="158"/>
      <x:c r="G28" s="158"/>
      <x:c r="H28" s="158"/>
      <x:c r="I28" s="158"/>
      <x:c r="J28" s="158"/>
      <x:c r="K28" s="158"/>
      <x:c r="L28" s="158"/>
      <x:c r="M28" s="158"/>
      <x:c r="N28" s="158"/>
      <x:c r="O28" s="158"/>
      <x:c r="P28" s="158"/>
      <x:c r="Q28" s="158"/>
    </x:row>
    <x:row r="29">
      <x:c r="A29" s="158"/>
      <x:c r="B29" s="158"/>
      <x:c r="C29" s="158"/>
      <x:c r="D29" s="158"/>
      <x:c r="E29" s="158"/>
      <x:c r="F29" s="158"/>
      <x:c r="G29" s="158"/>
      <x:c r="H29" s="158"/>
      <x:c r="I29" s="158"/>
      <x:c r="J29" s="158"/>
      <x:c r="K29" s="158"/>
      <x:c r="L29" s="158"/>
      <x:c r="M29" s="158"/>
      <x:c r="N29" s="158"/>
      <x:c r="O29" s="158"/>
      <x:c r="P29" s="158"/>
      <x:c r="Q29" s="158"/>
    </x:row>
    <x:row r="30">
      <x:c r="A30" s="158"/>
      <x:c r="B30" s="158"/>
      <x:c r="C30" s="158"/>
      <x:c r="D30" s="158"/>
      <x:c r="E30" s="158"/>
      <x:c r="F30" s="158"/>
      <x:c r="G30" s="158"/>
      <x:c r="H30" s="158"/>
      <x:c r="I30" s="158"/>
      <x:c r="J30" s="158"/>
      <x:c r="K30" s="158"/>
      <x:c r="L30" s="158"/>
      <x:c r="M30" s="158"/>
      <x:c r="N30" s="158"/>
      <x:c r="O30" s="158"/>
      <x:c r="P30" s="158"/>
      <x:c r="Q30" s="158"/>
    </x:row>
  </x:sheetData>
  <x:mergeCells>
    <x:mergeCell ref="A1:Q1"/>
    <x:mergeCell ref="A2:Q2"/>
  </x:mergeCells>
  <x:conditionalFormatting sqref="F5:H8">
    <x:cfRule type="cellIs" dxfId="15" priority="1" operator="greaterThan">
      <x:formula>0</x:formula>
    </x:cfRule>
    <x:cfRule type="cellIs" dxfId="16" priority="2" operator="lessThan">
      <x:formula>0</x:formula>
    </x:cfRule>
  </x:conditionalFormatting>
  <x:conditionalFormatting sqref="M5:M8">
    <x:cfRule type="cellIs" dxfId="17" priority="3" operator="lessThan">
      <x:formula>2.5</x:formula>
    </x:cfRule>
  </x:conditionalFormatting>
  <x:conditionalFormatting sqref="G9:G13">
    <x:cfRule type="cellIs" dxfId="25" priority="4" operator="greaterThan">
      <x:formula>0</x:formula>
    </x:cfRule>
    <x:cfRule type="cellIs" dxfId="26" priority="5" operator="less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28" hidden="0" customWidth="1"/>
    <x:col min="7" max="7" width="45" hidden="0" customWidth="1"/>
  </x:cols>
  <x:sheetData>
    <x:row r="1" ht="32" customHeight="1">
      <x:c r="A1" s="53" t="str">
        <x:v>来源、假设与模型检查</x:v>
      </x:c>
      <x:c r="B1" s="53" t="str">
        <x:v>来源、假设与模型检查</x:v>
      </x:c>
      <x:c r="C1" s="53" t="str">
        <x:v>来源、假设与模型检查</x:v>
      </x:c>
      <x:c r="D1" s="53" t="str">
        <x:v>来源、假设与模型检查</x:v>
      </x:c>
      <x:c r="E1" s="53" t="str">
        <x:v>来源、假设与模型检查</x:v>
      </x:c>
      <x:c r="F1" s="53" t="str">
        <x:v>来源、假设与模型检查</x:v>
      </x:c>
      <x:c r="G1" s="53" t="str">
        <x:v>来源、假设与模型检查</x:v>
      </x:c>
    </x:row>
    <x:row r="2">
      <x:c r="A2" s="55"/>
      <x:c r="B2" s="55"/>
      <x:c r="C2" s="55"/>
      <x:c r="D2" s="55"/>
      <x:c r="E2" s="55"/>
      <x:c r="F2" s="55"/>
      <x:c r="G2" s="55"/>
    </x:row>
    <x:row r="3" ht="24" customHeight="1">
      <x:c r="A3" s="56" t="str">
        <x:v>数据来源</x:v>
      </x:c>
      <x:c r="B3" s="56" t="str">
        <x:v>数据来源</x:v>
      </x:c>
      <x:c r="C3" s="56" t="str">
        <x:v>数据来源</x:v>
      </x:c>
      <x:c r="D3" s="56" t="str">
        <x:v>数据来源</x:v>
      </x:c>
      <x:c r="E3" s="56" t="str">
        <x:v>数据来源</x:v>
      </x:c>
      <x:c r="F3" s="56" t="str">
        <x:v>数据来源</x:v>
      </x:c>
      <x:c r="G3" s="56" t="str">
        <x:v>数据来源</x:v>
      </x:c>
    </x:row>
    <x:row r="4">
      <x:c r="A4" s="59" t="str">
        <x:v>来源ID</x:v>
      </x:c>
      <x:c r="B4" s="59" t="str">
        <x:v>项目</x:v>
      </x:c>
      <x:c r="C4" s="59" t="str">
        <x:v>数值/范围</x:v>
      </x:c>
      <x:c r="D4" s="59" t="str">
        <x:v>时点</x:v>
      </x:c>
      <x:c r="E4" s="59" t="str">
        <x:v>来源名称</x:v>
      </x:c>
      <x:c r="F4" s="59" t="str">
        <x:v>URL/路径</x:v>
      </x:c>
      <x:c r="G4" s="59" t="str">
        <x:v>证据与备注</x:v>
      </x:c>
    </x:row>
    <x:row r="5">
      <x:c r="A5" s="139" t="str">
        <x:v>SRC-01</x:v>
      </x:c>
      <x:c r="B5" s="139" t="str">
        <x:v>盘中行情</x:v>
      </x:c>
      <x:c r="C5" s="139" t="str">
        <x:v>神农7.71、我爱3.23、汉缆6.43、山东黄金36.96</x:v>
      </x:c>
      <x:c r="D5" s="139" t="str">
        <x:v>2026-09-07 10:18—10:19+08:00</x:v>
      </x:c>
      <x:c r="E5" s="139" t="str">
        <x:v>腾讯行情</x:v>
      </x:c>
      <x:c r="F5" s="198" t="str">
        <x:v>https://qt.gtimg.cn/q=sz300189,sz000560,sz002498,sh600547</x:v>
      </x:c>
      <x:c r="G5" s="139" t="str">
        <x:v>沿用本轮已读取的盘中快照，非收盘价</x:v>
      </x:c>
    </x:row>
    <x:row r="6">
      <x:c r="A6" s="139" t="str">
        <x:v>SRC-02</x:v>
      </x:c>
      <x:c r="B6" s="139" t="str">
        <x:v>最新成交</x:v>
      </x:c>
      <x:c r="C6" s="139" t="str">
        <x:v>神农7.834买1200；我爱3.22新增股数待补；我爱旧仓3200股3.30、汉缆1400股6.440、山东黄金200股37.01均全卖。</x:v>
      </x:c>
      <x:c r="D6" s="139" t="str">
        <x:v>2026-09-07</x:v>
      </x:c>
      <x:c r="E6" s="139" t="str">
        <x:v>用户确认</x:v>
      </x:c>
      <x:c r="F6" s="198" t="str">
        <x:v>conversation://current</x:v>
      </x:c>
      <x:c r="G6" s="139" t="str">
        <x:v>山东黄金37.01按卖出均价理解，原买入38.416不改；费用和成交时间待核。</x:v>
      </x:c>
    </x:row>
    <x:row r="7">
      <x:c r="A7" s="139" t="str">
        <x:v>SRC-03</x:v>
      </x:c>
      <x:c r="B7" s="139" t="str">
        <x:v>持仓状态</x:v>
      </x:c>
      <x:c r="C7" s="139" t="str">
        <x:v>当前神农1200股，我爱新仓股数未知。汉缆及山东黄金已平仓。</x:v>
      </x:c>
      <x:c r="D7" s="139" t="str">
        <x:v>2026-09-07</x:v>
      </x:c>
      <x:c r="E7" s="139" t="str">
        <x:v>用户输入及历史持仓</x:v>
      </x:c>
      <x:c r="F7" s="198" t="str">
        <x:v>conversation://current</x:v>
      </x:c>
      <x:c r="G7" s="139" t="str">
        <x:v>总仓因我爱新仓数量缺失暂不显示。</x:v>
      </x:c>
    </x:row>
    <x:row r="8">
      <x:c r="A8" s="139" t="str">
        <x:v>SRC-04</x:v>
      </x:c>
      <x:c r="B8" s="139" t="str">
        <x:v>T+1</x:v>
      </x:c>
      <x:c r="C8" s="139" t="str">
        <x:v>新增股份当日不能卖出</x:v>
      </x:c>
      <x:c r="D8" s="139" t="str">
        <x:v>2026-09-07</x:v>
      </x:c>
      <x:c r="E8" s="139" t="str">
        <x:v>深交所规则</x:v>
      </x:c>
      <x:c r="F8" s="198" t="str">
        <x:v>https://docs.static.szse.cn/www/lawrules/rule/trade/current/W020260424690713155663.pdf</x:v>
      </x:c>
      <x:c r="G8" s="139" t="str">
        <x:v>可卖数量以券商为准</x:v>
      </x:c>
    </x:row>
    <x:row r="9">
      <x:c r="A9" s="139" t="str">
        <x:v>SRC-05</x:v>
      </x:c>
      <x:c r="B9" s="139" t="str">
        <x:v>风险上限</x:v>
      </x:c>
      <x:c r="C9" s="139" t="str">
        <x:v>验证档20cm单股15%；一档压力3%；主板30%；总仓60%</x:v>
      </x:c>
      <x:c r="D9" s="139" t="str">
        <x:v>当前Skill</x:v>
      </x:c>
      <x:c r="E9" s="139" t="str">
        <x:v>风险规则</x:v>
      </x:c>
      <x:c r="F9" s="198" t="str">
        <x:v>a-share-ultrashort-preopen</x:v>
      </x:c>
      <x:c r="G9" s="139" t="str">
        <x:v>按3万元假设，不代表真实净值</x:v>
      </x:c>
    </x:row>
    <x:row r="10">
      <x:c r="A10" s="139" t="str">
        <x:v>SRC-06</x:v>
      </x:c>
      <x:c r="B10" s="139" t="str">
        <x:v>缺失项</x:v>
      </x:c>
      <x:c r="C10" s="139" t="str">
        <x:v>我爱新增股数、账户净值、成交时间、费用、事前L/T</x:v>
      </x:c>
      <x:c r="D10" s="139" t="str">
        <x:v>2026-09-07</x:v>
      </x:c>
      <x:c r="E10" s="139" t="str">
        <x:v>待补充</x:v>
      </x:c>
      <x:c r="F10" s="198" t="str">
        <x:v>conversation://current</x:v>
      </x:c>
      <x:c r="G10" s="139" t="str">
        <x:v>净R和总仓留空，避免误报完整结果</x:v>
      </x:c>
    </x:row>
    <x:row r="11">
      <x:c r="A11" s="55"/>
      <x:c r="B11" s="55"/>
      <x:c r="C11" s="55"/>
      <x:c r="D11" s="55"/>
      <x:c r="E11" s="55"/>
      <x:c r="F11" s="55"/>
      <x:c r="G11" s="55"/>
    </x:row>
    <x:row r="12" ht="24" customHeight="1">
      <x:c r="A12" s="56" t="str">
        <x:v>可审计检查</x:v>
      </x:c>
      <x:c r="B12" s="56" t="str">
        <x:v>可审计检查</x:v>
      </x:c>
      <x:c r="C12" s="56" t="str">
        <x:v>可审计检查</x:v>
      </x:c>
      <x:c r="D12" s="56" t="str">
        <x:v>可审计检查</x:v>
      </x:c>
      <x:c r="E12" s="56" t="str">
        <x:v>可审计检查</x:v>
      </x:c>
      <x:c r="F12" s="56" t="str">
        <x:v>可审计检查</x:v>
      </x:c>
      <x:c r="G12" s="56" t="str">
        <x:v>可审计检查</x:v>
      </x:c>
    </x:row>
    <x:row r="13">
      <x:c r="A13" s="59" t="str">
        <x:v>检查项</x:v>
      </x:c>
      <x:c r="B13" s="59" t="str">
        <x:v>实际值</x:v>
      </x:c>
      <x:c r="C13" s="59" t="str">
        <x:v>期望/上限</x:v>
      </x:c>
      <x:c r="D13" s="59" t="str">
        <x:v>差异/容差</x:v>
      </x:c>
      <x:c r="E13" s="59" t="str">
        <x:v>状态</x:v>
      </x:c>
      <x:c r="F13" s="59" t="str">
        <x:v>原因代码</x:v>
      </x:c>
      <x:c r="G13" s="59" t="str">
        <x:v>说明</x:v>
      </x:c>
    </x:row>
    <x:row r="14">
      <x:c r="A14" s="62" t="str">
        <x:v>总成本勾稽</x:v>
      </x:c>
      <x:c r="B14" s="66"/>
      <x:c r="C14" s="66"/>
      <x:c r="D14" s="62"/>
      <x:c r="E14" s="62" t="str">
        <x:v>待补充</x:v>
      </x:c>
      <x:c r="F14" s="62"/>
      <x:c r="G14" s="62" t="str">
        <x:v>缺完整数量、账户或事前计划，暂不作通过判断</x:v>
      </x:c>
    </x:row>
    <x:row r="15">
      <x:c r="A15" s="62" t="str">
        <x:v>总仓位上限</x:v>
      </x:c>
      <x:c r="B15" s="203"/>
      <x:c r="C15" s="203"/>
      <x:c r="D15" s="203"/>
      <x:c r="E15" s="62" t="str">
        <x:v>待补充</x:v>
      </x:c>
      <x:c r="F15" s="62"/>
      <x:c r="G15" s="62" t="str">
        <x:v>缺完整数量、账户或事前计划，暂不作通过判断</x:v>
      </x:c>
    </x:row>
    <x:row r="16">
      <x:c r="A16" s="62" t="str">
        <x:v>我爱我家单股仓位</x:v>
      </x:c>
      <x:c r="B16" s="203"/>
      <x:c r="C16" s="203"/>
      <x:c r="D16" s="203"/>
      <x:c r="E16" s="62" t="str">
        <x:v>待补充</x:v>
      </x:c>
      <x:c r="F16" s="62"/>
      <x:c r="G16" s="62" t="str">
        <x:v>缺完整数量、账户或事前计划，暂不作通过判断</x:v>
      </x:c>
    </x:row>
    <x:row r="17">
      <x:c r="A17" s="62" t="str">
        <x:v>神农种业单股仓位（买入额）</x:v>
      </x:c>
      <x:c r="B17" s="203" t="n">
        <x:f>'交易日志'!N12/'持仓总览'!A4</x:f>
        <x:v>0.31335999999999997</x:v>
      </x:c>
      <x:c r="C17" s="203" t="n">
        <x:f>'参数设置'!B19</x:f>
        <x:v>0.15</x:v>
      </x:c>
      <x:c r="D17" s="203" t="n">
        <x:f>B17-C17</x:f>
        <x:v>0.16335999999999998</x:v>
      </x:c>
      <x:c r="E17" s="62" t="str">
        <x:f>IF(B17&gt;C17,"FAIL","OK")</x:f>
        <x:v>FAIL</x:v>
      </x:c>
      <x:c r="F17" s="62"/>
      <x:c r="G17" s="62" t="str">
        <x:v>按3万元假设及神农实际买入名义金额审计</x:v>
      </x:c>
    </x:row>
    <x:row r="18">
      <x:c r="A18" s="62" t="str">
        <x:v>山东黄金单股仓位</x:v>
      </x:c>
      <x:c r="B18" s="203"/>
      <x:c r="C18" s="203"/>
      <x:c r="D18" s="203"/>
      <x:c r="E18" s="62" t="str">
        <x:v>已平仓</x:v>
      </x:c>
      <x:c r="F18" s="62"/>
      <x:c r="G18" s="62" t="str">
        <x:v>山东黄金200股已全部卖出，不再占用当前仓位和隔夜压力。</x:v>
      </x:c>
    </x:row>
    <x:row r="19">
      <x:c r="A19" s="62" t="str">
        <x:v>我爱我家跌停压力</x:v>
      </x:c>
      <x:c r="B19" s="203"/>
      <x:c r="C19" s="203"/>
      <x:c r="D19" s="203"/>
      <x:c r="E19" s="62" t="str">
        <x:v>待补充</x:v>
      </x:c>
      <x:c r="F19" s="62"/>
      <x:c r="G19" s="62" t="str">
        <x:v>缺完整数量、账户或事前计划，暂不作通过判断</x:v>
      </x:c>
    </x:row>
    <x:row r="20">
      <x:c r="A20" s="62" t="str">
        <x:v>神农种业跌停压力（买入额）</x:v>
      </x:c>
      <x:c r="B20" s="203" t="n">
        <x:f>B17*'参数设置'!B20</x:f>
        <x:v>0.06267199999999999</x:v>
      </x:c>
      <x:c r="C20" s="203" t="n">
        <x:f>'参数设置'!B12</x:f>
        <x:v>0.03</x:v>
      </x:c>
      <x:c r="D20" s="203" t="n">
        <x:f>B20-C20</x:f>
        <x:v>0.03267199999999999</x:v>
      </x:c>
      <x:c r="E20" s="62" t="str">
        <x:f>IF(B20&gt;C20,"FAIL","OK")</x:f>
        <x:v>FAIL</x:v>
      </x:c>
      <x:c r="F20" s="62"/>
      <x:c r="G20" s="62" t="str">
        <x:v>按3万元假设及神农实际买入名义金额审计</x:v>
      </x:c>
    </x:row>
    <x:row r="21">
      <x:c r="A21" s="62" t="str">
        <x:v>山东黄金跌停压力</x:v>
      </x:c>
      <x:c r="B21" s="203"/>
      <x:c r="C21" s="203"/>
      <x:c r="D21" s="203"/>
      <x:c r="E21" s="62" t="str">
        <x:v>已平仓</x:v>
      </x:c>
      <x:c r="F21" s="62"/>
      <x:c r="G21" s="62" t="str">
        <x:v>山东黄金200股已全部卖出，不再占用当前仓位和隔夜压力。</x:v>
      </x:c>
    </x:row>
    <x:row r="22">
      <x:c r="A22" s="62" t="str">
        <x:v>关键输入完整性</x:v>
      </x:c>
      <x:c r="B22" s="62"/>
      <x:c r="C22" s="62"/>
      <x:c r="D22" s="62"/>
      <x:c r="E22" s="62" t="str">
        <x:v>待补充</x:v>
      </x:c>
      <x:c r="F22" s="62"/>
      <x:c r="G22" s="62" t="str">
        <x:v>缺完整数量、账户或事前计划，暂不作通过判断</x:v>
      </x:c>
    </x:row>
    <x:row r="23">
      <x:c r="A23" s="55" t="str">
        <x:v>新增模式验证</x:v>
      </x:c>
      <x:c r="B23" s="55"/>
      <x:c r="C23" s="55"/>
      <x:c r="D23" s="55"/>
      <x:c r="E23" s="55" t="str">
        <x:v>待补充</x:v>
      </x:c>
      <x:c r="F23" s="55"/>
      <x:c r="G23" s="55" t="str">
        <x:v>缺完整数量、账户或事前计划，暂不作通过判断</x:v>
      </x:c>
    </x:row>
    <x:row r="24">
      <x:c r="A24" s="200" t="str">
        <x:v>模型状态</x:v>
      </x:c>
      <x:c r="B24" s="200" t="str">
        <x:v>模型状态</x:v>
      </x:c>
      <x:c r="C24" s="200" t="str">
        <x:v>模型状态</x:v>
      </x:c>
      <x:c r="D24" s="200" t="str">
        <x:v>模型状态</x:v>
      </x:c>
      <x:c r="E24" s="201" t="str">
        <x:v>REVIEW</x:v>
      </x:c>
      <x:c r="F24" s="201"/>
      <x:c r="G24" s="201"/>
    </x:row>
  </x:sheetData>
  <x:mergeCells>
    <x:mergeCell ref="A1:G1"/>
    <x:mergeCell ref="A3:G3"/>
    <x:mergeCell ref="A12:G12"/>
    <x:mergeCell ref="A24:D24"/>
    <x:mergeCell ref="E24:G24"/>
  </x:mergeCells>
  <x:conditionalFormatting sqref="E14:E22">
    <x:cfRule type="containsText" dxfId="18" priority="1" operator="containsText" text="OK"/>
    <x:cfRule type="containsText" dxfId="19" priority="2" operator="containsText" text="FAIL"/>
    <x:cfRule type="containsText" dxfId="20" priority="3" operator="containsText" text="INCOMPLETE"/>
  </x:conditionalFormatting>
  <x:pageMargins left="0.7" right="0.7" top="0.75" bottom="0.75" header="0.3" footer="0.3"/>
</x:worksheet>
</file>